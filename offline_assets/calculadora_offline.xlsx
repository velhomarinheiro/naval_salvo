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xr:revisionPtr revIDLastSave="0" documentId="11_392CE3D25FC1A5D6522A9D57EA8A52AADAC092C5" xr6:coauthVersionLast="47" xr6:coauthVersionMax="47" xr10:uidLastSave="{00000000-0000-0000-0000-000000000000}"/>
  <bookViews>
    <workbookView xWindow="0" yWindow="0" windowWidth="16384" windowHeight="8192" tabRatio="500" activeTab="6" xr2:uid="{00000000-000D-0000-FFFF-FFFF00000000}"/>
  </bookViews>
  <sheets>
    <sheet name="1.Início" sheetId="2" r:id="rId1"/>
    <sheet name="2.Forças" sheetId="3" r:id="rId2"/>
    <sheet name="3.Parâmetros_Azul" sheetId="4" r:id="rId3"/>
    <sheet name="4.Parâmetros_Verm" sheetId="5" r:id="rId4"/>
    <sheet name="5.Mira" sheetId="6" r:id="rId5"/>
    <sheet name="6.Cibernético" sheetId="7" r:id="rId6"/>
    <sheet name="7.Config" sheetId="8" r:id="rId7"/>
    <sheet name="8.MotorCalc" sheetId="9" r:id="rId8"/>
    <sheet name="9.Simulação" sheetId="10" r:id="rId9"/>
    <sheet name="10.Resultados" sheetId="11" r:id="rId10"/>
    <sheet name="0.Registro" sheetId="1" r:id="rId1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10" l="1"/>
  <c r="E15" i="7"/>
  <c r="G15" i="7"/>
  <c r="C24" i="7"/>
  <c r="E16" i="7"/>
  <c r="F16" i="7"/>
  <c r="D23" i="7"/>
  <c r="K7" i="10"/>
  <c r="L7" i="10"/>
  <c r="M7" i="10"/>
  <c r="N7" i="10"/>
  <c r="O7" i="10"/>
  <c r="C11" i="9"/>
  <c r="E17" i="7"/>
  <c r="F17" i="7"/>
  <c r="E23" i="7"/>
  <c r="C18" i="9"/>
  <c r="I8" i="10"/>
  <c r="F15" i="7"/>
  <c r="C23" i="7"/>
  <c r="G16" i="7"/>
  <c r="D24" i="7"/>
  <c r="C7" i="10"/>
  <c r="D7" i="10"/>
  <c r="C25" i="7"/>
  <c r="E7" i="10"/>
  <c r="F7" i="10"/>
  <c r="G7" i="10"/>
  <c r="H7" i="10"/>
  <c r="C19" i="9"/>
  <c r="G17" i="7"/>
  <c r="E24" i="7"/>
  <c r="C24" i="9"/>
  <c r="K8" i="10"/>
  <c r="C20" i="9"/>
  <c r="C25" i="9"/>
  <c r="L8" i="10"/>
  <c r="C21" i="9"/>
  <c r="C26" i="9"/>
  <c r="M8" i="10"/>
  <c r="C22" i="9"/>
  <c r="C27" i="9"/>
  <c r="N8" i="10"/>
  <c r="C23" i="9"/>
  <c r="C28" i="9"/>
  <c r="O8" i="10"/>
  <c r="D11" i="9"/>
  <c r="D18" i="9"/>
  <c r="I9" i="10"/>
  <c r="C5" i="9"/>
  <c r="C12" i="9"/>
  <c r="C8" i="10"/>
  <c r="C6" i="9"/>
  <c r="C13" i="9"/>
  <c r="D8" i="10"/>
  <c r="D25" i="7"/>
  <c r="C7" i="9"/>
  <c r="E25" i="7"/>
  <c r="C14" i="9"/>
  <c r="E8" i="10"/>
  <c r="C8" i="9"/>
  <c r="C15" i="9"/>
  <c r="F8" i="10"/>
  <c r="C9" i="9"/>
  <c r="C16" i="9"/>
  <c r="G8" i="10"/>
  <c r="C10" i="9"/>
  <c r="C17" i="9"/>
  <c r="H8" i="10"/>
  <c r="D19" i="9"/>
  <c r="D24" i="9"/>
  <c r="K9" i="10"/>
  <c r="D20" i="9"/>
  <c r="D25" i="9"/>
  <c r="L9" i="10"/>
  <c r="D21" i="9"/>
  <c r="D26" i="9"/>
  <c r="M9" i="10"/>
  <c r="D22" i="9"/>
  <c r="D27" i="9"/>
  <c r="N9" i="10"/>
  <c r="D23" i="9"/>
  <c r="D28" i="9"/>
  <c r="O9" i="10"/>
  <c r="E11" i="9"/>
  <c r="E18" i="9"/>
  <c r="I10" i="10"/>
  <c r="D5" i="9"/>
  <c r="D12" i="9"/>
  <c r="C9" i="10"/>
  <c r="D6" i="9"/>
  <c r="D13" i="9"/>
  <c r="D9" i="10"/>
  <c r="D7" i="9"/>
  <c r="D14" i="9"/>
  <c r="E9" i="10"/>
  <c r="D8" i="9"/>
  <c r="D15" i="9"/>
  <c r="F9" i="10"/>
  <c r="D9" i="9"/>
  <c r="D16" i="9"/>
  <c r="G9" i="10"/>
  <c r="D10" i="9"/>
  <c r="D17" i="9"/>
  <c r="H9" i="10"/>
  <c r="E19" i="9"/>
  <c r="E24" i="9"/>
  <c r="K10" i="10"/>
  <c r="E20" i="9"/>
  <c r="E25" i="9"/>
  <c r="L10" i="10"/>
  <c r="E21" i="9"/>
  <c r="E26" i="9"/>
  <c r="M10" i="10"/>
  <c r="E22" i="9"/>
  <c r="E27" i="9"/>
  <c r="N10" i="10"/>
  <c r="E23" i="9"/>
  <c r="E28" i="9"/>
  <c r="O10" i="10"/>
  <c r="F11" i="9"/>
  <c r="F18" i="9"/>
  <c r="I11" i="10"/>
  <c r="E5" i="9"/>
  <c r="E12" i="9"/>
  <c r="C10" i="10"/>
  <c r="E6" i="9"/>
  <c r="E13" i="9"/>
  <c r="D10" i="10"/>
  <c r="E7" i="9"/>
  <c r="E14" i="9"/>
  <c r="E10" i="10"/>
  <c r="E8" i="9"/>
  <c r="E15" i="9"/>
  <c r="F10" i="10"/>
  <c r="E9" i="9"/>
  <c r="E16" i="9"/>
  <c r="G10" i="10"/>
  <c r="E10" i="9"/>
  <c r="E17" i="9"/>
  <c r="H10" i="10"/>
  <c r="F19" i="9"/>
  <c r="F24" i="9"/>
  <c r="K11" i="10"/>
  <c r="F20" i="9"/>
  <c r="F25" i="9"/>
  <c r="L11" i="10"/>
  <c r="F21" i="9"/>
  <c r="F26" i="9"/>
  <c r="M11" i="10"/>
  <c r="F22" i="9"/>
  <c r="F27" i="9"/>
  <c r="N11" i="10"/>
  <c r="F23" i="9"/>
  <c r="F28" i="9"/>
  <c r="O11" i="10"/>
  <c r="G11" i="9"/>
  <c r="G18" i="9"/>
  <c r="I12" i="10"/>
  <c r="F5" i="9"/>
  <c r="F12" i="9"/>
  <c r="C11" i="10"/>
  <c r="F6" i="9"/>
  <c r="F13" i="9"/>
  <c r="D11" i="10"/>
  <c r="F7" i="9"/>
  <c r="F14" i="9"/>
  <c r="E11" i="10"/>
  <c r="F8" i="9"/>
  <c r="F15" i="9"/>
  <c r="F11" i="10"/>
  <c r="F9" i="9"/>
  <c r="F16" i="9"/>
  <c r="G11" i="10"/>
  <c r="F10" i="9"/>
  <c r="F17" i="9"/>
  <c r="H11" i="10"/>
  <c r="G19" i="9"/>
  <c r="G24" i="9"/>
  <c r="K12" i="10"/>
  <c r="G20" i="9"/>
  <c r="G25" i="9"/>
  <c r="L12" i="10"/>
  <c r="G21" i="9"/>
  <c r="G26" i="9"/>
  <c r="M12" i="10"/>
  <c r="G22" i="9"/>
  <c r="G27" i="9"/>
  <c r="N12" i="10"/>
  <c r="G23" i="9"/>
  <c r="G28" i="9"/>
  <c r="O12" i="10"/>
  <c r="H11" i="9"/>
  <c r="H18" i="9"/>
  <c r="I13" i="10"/>
  <c r="G5" i="9"/>
  <c r="G12" i="9"/>
  <c r="C12" i="10"/>
  <c r="G6" i="9"/>
  <c r="G13" i="9"/>
  <c r="D12" i="10"/>
  <c r="G7" i="9"/>
  <c r="G14" i="9"/>
  <c r="E12" i="10"/>
  <c r="G8" i="9"/>
  <c r="G15" i="9"/>
  <c r="F12" i="10"/>
  <c r="G9" i="9"/>
  <c r="G16" i="9"/>
  <c r="G12" i="10"/>
  <c r="G10" i="9"/>
  <c r="G17" i="9"/>
  <c r="H12" i="10"/>
  <c r="H19" i="9"/>
  <c r="H24" i="9"/>
  <c r="K13" i="10"/>
  <c r="H20" i="9"/>
  <c r="H25" i="9"/>
  <c r="L13" i="10"/>
  <c r="H21" i="9"/>
  <c r="H26" i="9"/>
  <c r="M13" i="10"/>
  <c r="H22" i="9"/>
  <c r="H27" i="9"/>
  <c r="N13" i="10"/>
  <c r="H23" i="9"/>
  <c r="H28" i="9"/>
  <c r="O13" i="10"/>
  <c r="I11" i="9"/>
  <c r="I18" i="9"/>
  <c r="I14" i="10"/>
  <c r="H5" i="9"/>
  <c r="H12" i="9"/>
  <c r="C13" i="10"/>
  <c r="H6" i="9"/>
  <c r="H13" i="9"/>
  <c r="D13" i="10"/>
  <c r="H7" i="9"/>
  <c r="H14" i="9"/>
  <c r="E13" i="10"/>
  <c r="H8" i="9"/>
  <c r="H15" i="9"/>
  <c r="F13" i="10"/>
  <c r="H9" i="9"/>
  <c r="H16" i="9"/>
  <c r="G13" i="10"/>
  <c r="H10" i="9"/>
  <c r="H17" i="9"/>
  <c r="H13" i="10"/>
  <c r="I19" i="9"/>
  <c r="I24" i="9"/>
  <c r="K14" i="10"/>
  <c r="I20" i="9"/>
  <c r="I25" i="9"/>
  <c r="L14" i="10"/>
  <c r="I21" i="9"/>
  <c r="I26" i="9"/>
  <c r="M14" i="10"/>
  <c r="I22" i="9"/>
  <c r="I27" i="9"/>
  <c r="N14" i="10"/>
  <c r="I23" i="9"/>
  <c r="I28" i="9"/>
  <c r="O14" i="10"/>
  <c r="J11" i="9"/>
  <c r="J18" i="9"/>
  <c r="I15" i="10"/>
  <c r="I5" i="9"/>
  <c r="I12" i="9"/>
  <c r="C14" i="10"/>
  <c r="I6" i="9"/>
  <c r="I13" i="9"/>
  <c r="D14" i="10"/>
  <c r="I7" i="9"/>
  <c r="I14" i="9"/>
  <c r="E14" i="10"/>
  <c r="I8" i="9"/>
  <c r="I15" i="9"/>
  <c r="F14" i="10"/>
  <c r="I9" i="9"/>
  <c r="I16" i="9"/>
  <c r="G14" i="10"/>
  <c r="I10" i="9"/>
  <c r="I17" i="9"/>
  <c r="H14" i="10"/>
  <c r="J19" i="9"/>
  <c r="J24" i="9"/>
  <c r="K15" i="10"/>
  <c r="J20" i="9"/>
  <c r="J25" i="9"/>
  <c r="L15" i="10"/>
  <c r="J21" i="9"/>
  <c r="J26" i="9"/>
  <c r="M15" i="10"/>
  <c r="J22" i="9"/>
  <c r="J27" i="9"/>
  <c r="N15" i="10"/>
  <c r="J23" i="9"/>
  <c r="J28" i="9"/>
  <c r="O15" i="10"/>
  <c r="K11" i="9"/>
  <c r="K18" i="9"/>
  <c r="I16" i="10"/>
  <c r="J5" i="9"/>
  <c r="J12" i="9"/>
  <c r="C15" i="10"/>
  <c r="J6" i="9"/>
  <c r="J13" i="9"/>
  <c r="D15" i="10"/>
  <c r="J7" i="9"/>
  <c r="J14" i="9"/>
  <c r="E15" i="10"/>
  <c r="J8" i="9"/>
  <c r="J15" i="9"/>
  <c r="F15" i="10"/>
  <c r="J9" i="9"/>
  <c r="J16" i="9"/>
  <c r="G15" i="10"/>
  <c r="J10" i="9"/>
  <c r="J17" i="9"/>
  <c r="H15" i="10"/>
  <c r="K19" i="9"/>
  <c r="K24" i="9"/>
  <c r="K16" i="10"/>
  <c r="K20" i="9"/>
  <c r="K25" i="9"/>
  <c r="L16" i="10"/>
  <c r="K21" i="9"/>
  <c r="K26" i="9"/>
  <c r="M16" i="10"/>
  <c r="K22" i="9"/>
  <c r="K27" i="9"/>
  <c r="N16" i="10"/>
  <c r="K23" i="9"/>
  <c r="K28" i="9"/>
  <c r="O16" i="10"/>
  <c r="L11" i="9"/>
  <c r="L18" i="9"/>
  <c r="I17" i="10"/>
  <c r="D27" i="11"/>
  <c r="C27" i="11"/>
  <c r="K10" i="9"/>
  <c r="K17" i="9"/>
  <c r="H16" i="10"/>
  <c r="L10" i="9"/>
  <c r="L17" i="9"/>
  <c r="H17" i="10"/>
  <c r="D26" i="11"/>
  <c r="C26" i="11"/>
  <c r="K5" i="9"/>
  <c r="K12" i="9"/>
  <c r="C16" i="10"/>
  <c r="K6" i="9"/>
  <c r="K13" i="9"/>
  <c r="D16" i="10"/>
  <c r="K7" i="9"/>
  <c r="K14" i="9"/>
  <c r="E16" i="10"/>
  <c r="K8" i="9"/>
  <c r="K15" i="9"/>
  <c r="F16" i="10"/>
  <c r="K9" i="9"/>
  <c r="K16" i="9"/>
  <c r="G16" i="10"/>
  <c r="L23" i="9"/>
  <c r="L28" i="9"/>
  <c r="O17" i="10"/>
  <c r="G25" i="11"/>
  <c r="L9" i="9"/>
  <c r="L16" i="9"/>
  <c r="G17" i="10"/>
  <c r="D25" i="11"/>
  <c r="C25" i="11"/>
  <c r="L22" i="9"/>
  <c r="L27" i="9"/>
  <c r="N17" i="10"/>
  <c r="G24" i="11"/>
  <c r="L8" i="9"/>
  <c r="L15" i="9"/>
  <c r="F17" i="10"/>
  <c r="D24" i="11"/>
  <c r="C24" i="11"/>
  <c r="L21" i="9"/>
  <c r="L26" i="9"/>
  <c r="M17" i="10"/>
  <c r="G23" i="11"/>
  <c r="L7" i="9"/>
  <c r="L14" i="9"/>
  <c r="E17" i="10"/>
  <c r="D23" i="11"/>
  <c r="C23" i="11"/>
  <c r="L20" i="9"/>
  <c r="L25" i="9"/>
  <c r="L17" i="10"/>
  <c r="G22" i="11"/>
  <c r="L6" i="9"/>
  <c r="L13" i="9"/>
  <c r="D17" i="10"/>
  <c r="D22" i="11"/>
  <c r="C22" i="11"/>
  <c r="L19" i="9"/>
  <c r="L24" i="9"/>
  <c r="K17" i="10"/>
  <c r="G21" i="11"/>
  <c r="L5" i="9"/>
  <c r="L12" i="9"/>
  <c r="C17" i="10"/>
  <c r="D21" i="11"/>
  <c r="C21" i="11"/>
  <c r="G17" i="11"/>
  <c r="D17" i="11"/>
  <c r="C17" i="11"/>
  <c r="G16" i="11"/>
  <c r="D16" i="11"/>
  <c r="C16" i="11"/>
  <c r="B12" i="11"/>
  <c r="G10" i="11"/>
  <c r="G9" i="11"/>
  <c r="G8" i="11"/>
  <c r="D8" i="11"/>
  <c r="C8" i="11"/>
  <c r="G7" i="11"/>
  <c r="D7" i="11"/>
  <c r="C7" i="11"/>
  <c r="R17" i="10"/>
  <c r="Q17" i="10"/>
  <c r="P17" i="10"/>
  <c r="R16" i="10"/>
  <c r="Q16" i="10"/>
  <c r="P16" i="10"/>
  <c r="R15" i="10"/>
  <c r="Q15" i="10"/>
  <c r="P15" i="10"/>
  <c r="R14" i="10"/>
  <c r="Q14" i="10"/>
  <c r="P14" i="10"/>
  <c r="R13" i="10"/>
  <c r="Q13" i="10"/>
  <c r="P13" i="10"/>
  <c r="R12" i="10"/>
  <c r="Q12" i="10"/>
  <c r="P12" i="10"/>
  <c r="R11" i="10"/>
  <c r="Q11" i="10"/>
  <c r="P11" i="10"/>
  <c r="R10" i="10"/>
  <c r="Q10" i="10"/>
  <c r="P10" i="10"/>
  <c r="R9" i="10"/>
  <c r="Q9" i="10"/>
  <c r="P9" i="10"/>
  <c r="R8" i="10"/>
  <c r="Q8" i="10"/>
  <c r="P8" i="10"/>
  <c r="Q7" i="10"/>
  <c r="P7" i="10"/>
  <c r="L34" i="9"/>
  <c r="L35" i="9"/>
  <c r="L36" i="9"/>
  <c r="L37" i="9"/>
  <c r="L38" i="9"/>
  <c r="L39" i="9"/>
  <c r="L40" i="9"/>
  <c r="L52" i="9"/>
  <c r="K34" i="9"/>
  <c r="K35" i="9"/>
  <c r="K36" i="9"/>
  <c r="K37" i="9"/>
  <c r="K38" i="9"/>
  <c r="K39" i="9"/>
  <c r="K40" i="9"/>
  <c r="K52" i="9"/>
  <c r="J34" i="9"/>
  <c r="J35" i="9"/>
  <c r="J36" i="9"/>
  <c r="J37" i="9"/>
  <c r="J38" i="9"/>
  <c r="J39" i="9"/>
  <c r="J40" i="9"/>
  <c r="J52" i="9"/>
  <c r="I34" i="9"/>
  <c r="I35" i="9"/>
  <c r="I36" i="9"/>
  <c r="I37" i="9"/>
  <c r="I38" i="9"/>
  <c r="I39" i="9"/>
  <c r="I40" i="9"/>
  <c r="I52" i="9"/>
  <c r="H34" i="9"/>
  <c r="H35" i="9"/>
  <c r="H36" i="9"/>
  <c r="H37" i="9"/>
  <c r="H38" i="9"/>
  <c r="H39" i="9"/>
  <c r="H40" i="9"/>
  <c r="H52" i="9"/>
  <c r="G34" i="9"/>
  <c r="G35" i="9"/>
  <c r="G36" i="9"/>
  <c r="G37" i="9"/>
  <c r="G38" i="9"/>
  <c r="G39" i="9"/>
  <c r="G40" i="9"/>
  <c r="G52" i="9"/>
  <c r="F34" i="9"/>
  <c r="F35" i="9"/>
  <c r="F36" i="9"/>
  <c r="F37" i="9"/>
  <c r="F38" i="9"/>
  <c r="F39" i="9"/>
  <c r="F40" i="9"/>
  <c r="F52" i="9"/>
  <c r="E34" i="9"/>
  <c r="E35" i="9"/>
  <c r="E36" i="9"/>
  <c r="E37" i="9"/>
  <c r="E38" i="9"/>
  <c r="E39" i="9"/>
  <c r="E40" i="9"/>
  <c r="E52" i="9"/>
  <c r="D34" i="9"/>
  <c r="D35" i="9"/>
  <c r="D36" i="9"/>
  <c r="D37" i="9"/>
  <c r="D38" i="9"/>
  <c r="D39" i="9"/>
  <c r="D40" i="9"/>
  <c r="D52" i="9"/>
  <c r="C34" i="9"/>
  <c r="C35" i="9"/>
  <c r="C36" i="9"/>
  <c r="C37" i="9"/>
  <c r="C38" i="9"/>
  <c r="C39" i="9"/>
  <c r="C40" i="9"/>
  <c r="C52" i="9"/>
  <c r="L51" i="9"/>
  <c r="K51" i="9"/>
  <c r="J51" i="9"/>
  <c r="I51" i="9"/>
  <c r="H51" i="9"/>
  <c r="G51" i="9"/>
  <c r="F51" i="9"/>
  <c r="E51" i="9"/>
  <c r="D51" i="9"/>
  <c r="C51" i="9"/>
  <c r="L50" i="9"/>
  <c r="K50" i="9"/>
  <c r="J50" i="9"/>
  <c r="I50" i="9"/>
  <c r="H50" i="9"/>
  <c r="G50" i="9"/>
  <c r="F50" i="9"/>
  <c r="E50" i="9"/>
  <c r="D50" i="9"/>
  <c r="C50" i="9"/>
  <c r="L49" i="9"/>
  <c r="K49" i="9"/>
  <c r="J49" i="9"/>
  <c r="I49" i="9"/>
  <c r="H49" i="9"/>
  <c r="G49" i="9"/>
  <c r="F49" i="9"/>
  <c r="E49" i="9"/>
  <c r="D49" i="9"/>
  <c r="C49" i="9"/>
  <c r="L48" i="9"/>
  <c r="K48" i="9"/>
  <c r="J48" i="9"/>
  <c r="I48" i="9"/>
  <c r="H48" i="9"/>
  <c r="G48" i="9"/>
  <c r="F48" i="9"/>
  <c r="E48" i="9"/>
  <c r="D48" i="9"/>
  <c r="C48" i="9"/>
  <c r="L29" i="9"/>
  <c r="L30" i="9"/>
  <c r="L31" i="9"/>
  <c r="L32" i="9"/>
  <c r="L33" i="9"/>
  <c r="L47" i="9"/>
  <c r="K29" i="9"/>
  <c r="K30" i="9"/>
  <c r="K31" i="9"/>
  <c r="K32" i="9"/>
  <c r="K33" i="9"/>
  <c r="K47" i="9"/>
  <c r="J29" i="9"/>
  <c r="J30" i="9"/>
  <c r="J31" i="9"/>
  <c r="J32" i="9"/>
  <c r="J33" i="9"/>
  <c r="J47" i="9"/>
  <c r="I29" i="9"/>
  <c r="I30" i="9"/>
  <c r="I31" i="9"/>
  <c r="I32" i="9"/>
  <c r="I33" i="9"/>
  <c r="I47" i="9"/>
  <c r="H29" i="9"/>
  <c r="H30" i="9"/>
  <c r="H31" i="9"/>
  <c r="H32" i="9"/>
  <c r="H33" i="9"/>
  <c r="H47" i="9"/>
  <c r="G29" i="9"/>
  <c r="G30" i="9"/>
  <c r="G31" i="9"/>
  <c r="G32" i="9"/>
  <c r="G33" i="9"/>
  <c r="G47" i="9"/>
  <c r="F29" i="9"/>
  <c r="F30" i="9"/>
  <c r="F31" i="9"/>
  <c r="F32" i="9"/>
  <c r="F33" i="9"/>
  <c r="F47" i="9"/>
  <c r="E29" i="9"/>
  <c r="E30" i="9"/>
  <c r="E31" i="9"/>
  <c r="E32" i="9"/>
  <c r="E33" i="9"/>
  <c r="E47" i="9"/>
  <c r="D29" i="9"/>
  <c r="D30" i="9"/>
  <c r="D31" i="9"/>
  <c r="D32" i="9"/>
  <c r="D33" i="9"/>
  <c r="D47" i="9"/>
  <c r="C29" i="9"/>
  <c r="C30" i="9"/>
  <c r="C31" i="9"/>
  <c r="C32" i="9"/>
  <c r="C33" i="9"/>
  <c r="C47" i="9"/>
  <c r="L46" i="9"/>
  <c r="K46" i="9"/>
  <c r="J46" i="9"/>
  <c r="I46" i="9"/>
  <c r="H46" i="9"/>
  <c r="G46" i="9"/>
  <c r="F46" i="9"/>
  <c r="E46" i="9"/>
  <c r="D46" i="9"/>
  <c r="C46" i="9"/>
  <c r="L45" i="9"/>
  <c r="K45" i="9"/>
  <c r="J45" i="9"/>
  <c r="I45" i="9"/>
  <c r="H45" i="9"/>
  <c r="G45" i="9"/>
  <c r="F45" i="9"/>
  <c r="E45" i="9"/>
  <c r="D45" i="9"/>
  <c r="C45" i="9"/>
  <c r="L44" i="9"/>
  <c r="K44" i="9"/>
  <c r="J44" i="9"/>
  <c r="I44" i="9"/>
  <c r="H44" i="9"/>
  <c r="G44" i="9"/>
  <c r="F44" i="9"/>
  <c r="E44" i="9"/>
  <c r="D44" i="9"/>
  <c r="C44" i="9"/>
  <c r="L43" i="9"/>
  <c r="K43" i="9"/>
  <c r="J43" i="9"/>
  <c r="I43" i="9"/>
  <c r="H43" i="9"/>
  <c r="G43" i="9"/>
  <c r="F43" i="9"/>
  <c r="E43" i="9"/>
  <c r="D43" i="9"/>
  <c r="C43" i="9"/>
  <c r="L42" i="9"/>
  <c r="K42" i="9"/>
  <c r="J42" i="9"/>
  <c r="I42" i="9"/>
  <c r="H42" i="9"/>
  <c r="G42" i="9"/>
  <c r="F42" i="9"/>
  <c r="E42" i="9"/>
  <c r="D42" i="9"/>
  <c r="C42" i="9"/>
  <c r="L41" i="9"/>
  <c r="K41" i="9"/>
  <c r="J41" i="9"/>
  <c r="I41" i="9"/>
  <c r="H41" i="9"/>
  <c r="G41" i="9"/>
  <c r="F41" i="9"/>
  <c r="E41" i="9"/>
  <c r="D41" i="9"/>
  <c r="C41" i="9"/>
  <c r="J41" i="6"/>
  <c r="J40" i="6"/>
  <c r="J39" i="6"/>
  <c r="J38" i="6"/>
  <c r="J37" i="6"/>
  <c r="H32" i="6"/>
  <c r="H31" i="6"/>
  <c r="H30" i="6"/>
  <c r="H29" i="6"/>
  <c r="H28" i="6"/>
  <c r="H27" i="6"/>
  <c r="H26" i="6"/>
  <c r="J21" i="6"/>
  <c r="J20" i="6"/>
  <c r="J19" i="6"/>
  <c r="J18" i="6"/>
  <c r="J17" i="6"/>
  <c r="H12" i="6"/>
  <c r="H11" i="6"/>
  <c r="H10" i="6"/>
  <c r="H9" i="6"/>
  <c r="H8" i="6"/>
  <c r="H7" i="6"/>
  <c r="H6" i="6"/>
</calcChain>
</file>

<file path=xl/sharedStrings.xml><?xml version="1.0" encoding="utf-8"?>
<sst xmlns="http://schemas.openxmlformats.org/spreadsheetml/2006/main" count="579" uniqueCount="253">
  <si>
    <t>CALCULADORA DE SALVA NAVAL MULTI-DOMÍNIO — VERSÃO PROTEGIDA</t>
  </si>
  <si>
    <t>REGISTRO DE AUTORIA</t>
  </si>
  <si>
    <t>Autor</t>
  </si>
  <si>
    <t>Alberto Ferreira Filho</t>
  </si>
  <si>
    <t>Trabalho</t>
  </si>
  <si>
    <t>Equação de Salva Multidomínio</t>
  </si>
  <si>
    <t>Versão da planilha</t>
  </si>
  <si>
    <t>Data desta versão</t>
  </si>
  <si>
    <t>2026-05-17</t>
  </si>
  <si>
    <t>Modelo de referência</t>
  </si>
  <si>
    <t>Hughes (1995) / Johns–Pilnick–Hughes (2001) / Armstrong (2014)</t>
  </si>
  <si>
    <t>Extensão</t>
  </si>
  <si>
    <t>Cinco domínios (s, u, a, c, y) com modulação cibernética Φ</t>
  </si>
  <si>
    <t>Submissão</t>
  </si>
  <si>
    <t>PROTEÇÃO DA PLANILHA</t>
  </si>
  <si>
    <t>Status</t>
  </si>
  <si>
    <t>Todas as abas protegidas — somente células de entrada são editáveis</t>
  </si>
  <si>
    <t>Critério</t>
  </si>
  <si>
    <t>Editáveis: células com fonte AZUL (FF0000FF), conforme legenda original</t>
  </si>
  <si>
    <t>Senha</t>
  </si>
  <si>
    <t>Nenhuma — proteção sem cadeado (pode ser removida pelo usuário)</t>
  </si>
  <si>
    <t>Como desproteger</t>
  </si>
  <si>
    <t>Aba 'Revisão' (ou 'Review') → 'Desproteger Planilha'</t>
  </si>
  <si>
    <t>Total editáveis</t>
  </si>
  <si>
    <t>690 células em 6 abas</t>
  </si>
  <si>
    <t>CÉLULAS EDITÁVEIS POR ABA</t>
  </si>
  <si>
    <t>Aba</t>
  </si>
  <si>
    <t>Nº de células editáveis</t>
  </si>
  <si>
    <t>1.Início</t>
  </si>
  <si>
    <t>2.Forças</t>
  </si>
  <si>
    <t>3.Parâmetros_Azul</t>
  </si>
  <si>
    <t>4.Parâmetros_Verm</t>
  </si>
  <si>
    <t>5.Mira</t>
  </si>
  <si>
    <t>6.Cibernético</t>
  </si>
  <si>
    <t>7.Config</t>
  </si>
  <si>
    <t>8.MotorCalc</t>
  </si>
  <si>
    <t>9.Simulação</t>
  </si>
  <si>
    <t>10.Resultados</t>
  </si>
  <si>
    <t>CALCULADORA DE SALVA NAVAL MULTI-DOMÍNIO  v1.5</t>
  </si>
  <si>
    <t>Modelo heterogêneo multi-domínio · Parâmetros por tipo de unidade · Engajamento simultâneo ou sequencial</t>
  </si>
  <si>
    <t>Versão 1.5 — Maio/2026 · Elaborada por Alberto Ferreira Filho · Baseado em Johns–Pilnick–Hughes (2001) e Hausken–Moxnes (2026)</t>
  </si>
  <si>
    <t>FLUXO DE USO (7 PASSOS)</t>
  </si>
  <si>
    <t>Passo 1 → 2.Forças</t>
  </si>
  <si>
    <t>Inventário Azul e Vermelha (tipo, domínio, quantidade)</t>
  </si>
  <si>
    <t>Passo 2 → 3.Parâm_Azul</t>
  </si>
  <si>
    <t>β, ζ, σ, τ, ρ, δ, ς por unidade Azul × cada alvo Vermelha</t>
  </si>
  <si>
    <t>Passo 3 → 4.Parâm_Verm</t>
  </si>
  <si>
    <t>Idem para unidades Vermelha</t>
  </si>
  <si>
    <t>Passo 4 → 5.Mira</t>
  </si>
  <si>
    <t>Matrizes γ (ofensiva) e θ (defensiva) por par de tipos</t>
  </si>
  <si>
    <t>Passo 5 → 6.Cibernético</t>
  </si>
  <si>
    <t>Sub-tipos y_σ, y_ρ, y_δ, y_def e parâmetros da sigmoide Φ</t>
  </si>
  <si>
    <t>Passo 6 → 7.Config</t>
  </si>
  <si>
    <t>Modo de engajamento, admissibilidade, tempo característico</t>
  </si>
  <si>
    <t>Passo 7 → 9.Simulação</t>
  </si>
  <si>
    <t>Veja propagação automática; resumo em 10.Resultados</t>
  </si>
  <si>
    <t>MODOS DE ENGAJAMENTO</t>
  </si>
  <si>
    <t>Simultâneo</t>
  </si>
  <si>
    <t>Caso base [Hughes, 1995]: ambos os lados disparam usando forças do início da salva.</t>
  </si>
  <si>
    <t>Azul ataca primeiro</t>
  </si>
  <si>
    <t>[Armstrong, 2014] sequencial: Azul dispara → Vermelha sofre → Vermelha sobrevivente retalha.</t>
  </si>
  <si>
    <t>Vermelha ataca primeiro</t>
  </si>
  <si>
    <t>[Armstrong, 2014] sequencial: Vermelha dispara → Azul sofre → Azul sobrevivente retalha.</t>
  </si>
  <si>
    <t>LEGENDA DE CORES</t>
  </si>
  <si>
    <t xml:space="preserve">  </t>
  </si>
  <si>
    <t>Célula EDITÁVEL (texto azul)</t>
  </si>
  <si>
    <t>Célula calculada</t>
  </si>
  <si>
    <t>Resultado / OK</t>
  </si>
  <si>
    <t>Alerta / restrição violada</t>
  </si>
  <si>
    <t>Dados AZUL</t>
  </si>
  <si>
    <t>Dados VERMELHA</t>
  </si>
  <si>
    <t>OBSERVAÇÃO IMPORTANTE</t>
  </si>
  <si>
    <t>A aba 8.MotorCalc contém os cálculos intermediários e pode ser ocultada (clique direito na aba → Ocultar). Não é necessário editá-la. Os resultados aparecem nas abas 9.Simulação e 10.Resultados.</t>
  </si>
  <si>
    <t>INVENTÁRIO INICIAL DE FORÇAS</t>
  </si>
  <si>
    <t>🛡️  LADO AZUL</t>
  </si>
  <si>
    <t>⚔️  LADO VERMELHA</t>
  </si>
  <si>
    <t>Tipo de Unidade</t>
  </si>
  <si>
    <t>Dom.</t>
  </si>
  <si>
    <t>Qtd. inicial</t>
  </si>
  <si>
    <t>Fragata Cl. Tamandaré</t>
  </si>
  <si>
    <t>s</t>
  </si>
  <si>
    <t>Destróier (atacante)</t>
  </si>
  <si>
    <t>Fragata Cl. Niterói mod</t>
  </si>
  <si>
    <t>Fragata (atacante)</t>
  </si>
  <si>
    <t>Submarino Cl. Riachuelo</t>
  </si>
  <si>
    <t>u</t>
  </si>
  <si>
    <t>Aeronave ataque c/ASM</t>
  </si>
  <si>
    <t>a</t>
  </si>
  <si>
    <t>Aeronave P-3AM</t>
  </si>
  <si>
    <t>Aeronave escolta caça</t>
  </si>
  <si>
    <t>UAV de patrulha</t>
  </si>
  <si>
    <t>UAV ISR</t>
  </si>
  <si>
    <t>FPSO (alvo fixo)</t>
  </si>
  <si>
    <t>c</t>
  </si>
  <si>
    <t>Bateria MANSUP costeira</t>
  </si>
  <si>
    <t>PARÂMETROS DE COMBATE — LADO AZUL</t>
  </si>
  <si>
    <t>β = potência ofensiva  ·  ζ = potência defensiva  ·  σ⁰,τ⁰,ρ⁰,δ⁰ ∈ [0,1] = scouting, treinamento, distração, alerta  ·  ς = staying power</t>
  </si>
  <si>
    <t>Unidade ATACANTE</t>
  </si>
  <si>
    <t>Alvo (inimigo)</t>
  </si>
  <si>
    <t>β</t>
  </si>
  <si>
    <t>ζ</t>
  </si>
  <si>
    <t>σ⁰</t>
  </si>
  <si>
    <t>τ⁰</t>
  </si>
  <si>
    <t>ρ⁰</t>
  </si>
  <si>
    <t>δ⁰</t>
  </si>
  <si>
    <t>ς</t>
  </si>
  <si>
    <t xml:space="preserve">  ↗  Fragata Cl. Tamandaré  [s]  atacando →</t>
  </si>
  <si>
    <t>Destróier (atacante) [s]</t>
  </si>
  <si>
    <t>Fragata (atacante) [s]</t>
  </si>
  <si>
    <t>Aeronave ataque c/ASM [a]</t>
  </si>
  <si>
    <t>Aeronave escolta caça [a]</t>
  </si>
  <si>
    <t>UAV ISR [a]</t>
  </si>
  <si>
    <t xml:space="preserve">  ↗  Fragata Cl. Niterói mod  [s]  atacando →</t>
  </si>
  <si>
    <t xml:space="preserve">  ↗  Submarino Cl. Riachuelo  [u]  atacando →</t>
  </si>
  <si>
    <t xml:space="preserve">  ↗  Aeronave P-3AM  [a]  atacando →</t>
  </si>
  <si>
    <t xml:space="preserve">  ↗  UAV de patrulha  [a]  atacando →</t>
  </si>
  <si>
    <t xml:space="preserve">  ↗  FPSO (alvo fixo)  [c]  atacando →</t>
  </si>
  <si>
    <t xml:space="preserve">  ↗  Bateria MANSUP costeira  [c]  atacando →</t>
  </si>
  <si>
    <t>PARÂMETROS DE COMBATE — LADO VERMELHA</t>
  </si>
  <si>
    <t xml:space="preserve">  ↗  Destróier (atacante)  [s]  atacando →</t>
  </si>
  <si>
    <t>Fragata Cl. Tamandaré [s]</t>
  </si>
  <si>
    <t>Fragata Cl. Niterói mod [s]</t>
  </si>
  <si>
    <t>Submarino Cl. Riachuelo [u]</t>
  </si>
  <si>
    <t>Aeronave P-3AM [a]</t>
  </si>
  <si>
    <t>UAV de patrulha [a]</t>
  </si>
  <si>
    <t>FPSO (alvo fixo) [c]</t>
  </si>
  <si>
    <t>Bateria MANSUP costeira [c]</t>
  </si>
  <si>
    <t xml:space="preserve">  ↗  Fragata (atacante)  [s]  atacando →</t>
  </si>
  <si>
    <t xml:space="preserve">  ↗  Aeronave ataque c/ASM  [a]  atacando →</t>
  </si>
  <si>
    <t xml:space="preserve">  ↗  Aeronave escolta caça  [a]  atacando →</t>
  </si>
  <si>
    <t xml:space="preserve">  ↗  UAV ISR  [a]  atacando →</t>
  </si>
  <si>
    <t>MATRIZES DE MIRA — γ (ofensiva) e θ (defensiva)</t>
  </si>
  <si>
    <t>γ  AZUL → VERMELHA  (fração ofensiva — pode exceder 1 para s/u)</t>
  </si>
  <si>
    <t>↓Atacante / Alvo→</t>
  </si>
  <si>
    <t>Destróier (atacant</t>
  </si>
  <si>
    <t>Aeronave ataque c/</t>
  </si>
  <si>
    <t>Aeronave escolta c</t>
  </si>
  <si>
    <t>Σ (limite)</t>
  </si>
  <si>
    <t>γ  VERMELHA → AZUL  (fração ofensiva — pode exceder 1 para s/u)</t>
  </si>
  <si>
    <t>Fragata Cl. Tamand</t>
  </si>
  <si>
    <t>Fragata Cl. Niteró</t>
  </si>
  <si>
    <t>Submarino Cl. Riac</t>
  </si>
  <si>
    <t>Bateria MANSUP cos</t>
  </si>
  <si>
    <t>θ  AZUL defendendo de VERMELHA  (fração defensiva — sempre ≤ 1)</t>
  </si>
  <si>
    <t>Σ (≤1)</t>
  </si>
  <si>
    <t>θ  VERMELHA defendendo de AZUL  (fração defensiva — sempre ≤ 1)</t>
  </si>
  <si>
    <t>DOMÍNIO CIBERNÉTICO-ELETROMAGNÉTICO</t>
  </si>
  <si>
    <t>Sub-tipos cibernéticos e cálculo dos fatores Φᵟ, Φᵖ, Φᵟ. Submarinos imunes (Φ ≡ 1).</t>
  </si>
  <si>
    <t>SUB-TIPOS E PESOS POR CANAL</t>
  </si>
  <si>
    <t>Sub-tipo</t>
  </si>
  <si>
    <t>Função</t>
  </si>
  <si>
    <t>w(σ)</t>
  </si>
  <si>
    <t>w(ρ)</t>
  </si>
  <si>
    <t>w(δ)</t>
  </si>
  <si>
    <t>Azul</t>
  </si>
  <si>
    <t>Vermelha</t>
  </si>
  <si>
    <t>y_σ</t>
  </si>
  <si>
    <t>Jamming/SIGINT</t>
  </si>
  <si>
    <t>y_ρ</t>
  </si>
  <si>
    <t>Spoofing/decoy</t>
  </si>
  <si>
    <t>y_δ</t>
  </si>
  <si>
    <t>Ataque a CMS/C²</t>
  </si>
  <si>
    <t>y_def</t>
  </si>
  <si>
    <t>COMSEC/hardening</t>
  </si>
  <si>
    <t>PARÂMETROS Φᵖ = 1 / [1 + (Rᵖ/r₀ᵖ)^kᵖ]</t>
  </si>
  <si>
    <t>Canal</t>
  </si>
  <si>
    <t>r₀</t>
  </si>
  <si>
    <t>k</t>
  </si>
  <si>
    <t>R</t>
  </si>
  <si>
    <t>Φ Azul</t>
  </si>
  <si>
    <t>Φ Verm.</t>
  </si>
  <si>
    <t>Canal σ</t>
  </si>
  <si>
    <t>Canal ρ</t>
  </si>
  <si>
    <t>Canal δ</t>
  </si>
  <si>
    <t>Φ FINAIS PARA SIMULAÇÃO</t>
  </si>
  <si>
    <t>Lado</t>
  </si>
  <si>
    <t>Φᵟ(σ)</t>
  </si>
  <si>
    <t>Φᵖ(ρ)</t>
  </si>
  <si>
    <t>Φᵟ(δ)</t>
  </si>
  <si>
    <t>Azul (não-sub.)</t>
  </si>
  <si>
    <t>Verm. (não-sub.)</t>
  </si>
  <si>
    <t>Submarino — IMUNE</t>
  </si>
  <si>
    <t>CONFIGURAÇÃO DO ENGAJAMENTO</t>
  </si>
  <si>
    <t>MODO DE ENGAJAMENTO</t>
  </si>
  <si>
    <t>Modo:</t>
  </si>
  <si>
    <t>Selecione o modo do menu suspenso</t>
  </si>
  <si>
    <t>MATRIZ DE ADMISSIBILIDADE 𝟙⁽ᵈ',ᵈ⁾</t>
  </si>
  <si>
    <t>d' \ d</t>
  </si>
  <si>
    <t>TEMPO CARACTERÍSTICO POR DOMÍNIO (min/salva)</t>
  </si>
  <si>
    <t>y</t>
  </si>
  <si>
    <t>MOTOR DE CÁLCULO INTERMEDIÁRIO  (auxiliar — pode ocultar)</t>
  </si>
  <si>
    <t>Esta aba contém os termos individuais de ataque e defesa por par (atacante, alvo). A aba 9.Simulação consome estes valores.</t>
  </si>
  <si>
    <t>Grupo</t>
  </si>
  <si>
    <t>Alvo / unidade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</si>
  <si>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</si>
  <si>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</si>
  <si>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</si>
  <si>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</si>
  <si>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</si>
  <si>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</si>
  <si>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</si>
  <si>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</si>
  <si>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</si>
  <si>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</si>
  <si>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Az_inc_sim</t>
  </si>
  <si>
    <t>Az_def_sim</t>
  </si>
  <si>
    <t>Vm_inc_sim</t>
  </si>
  <si>
    <t>Vm_def_sim</t>
  </si>
  <si>
    <t>Vm_star_AZfirst</t>
  </si>
  <si>
    <t>Az_star_VMfirst</t>
  </si>
  <si>
    <t>Az_inc_AZfirst</t>
  </si>
  <si>
    <t>Vm_inc_VMfirst</t>
  </si>
  <si>
    <t>PROPAGAÇÃO DE 10 SALVAS — SIMULAÇÃO AUTOMÁTICA</t>
  </si>
  <si>
    <t>Forças residuais por tipo de unidade. O modo (simultâneo/sequencial) vem de 7.Config. Cálculos intermediários estão em 8.MotorCalc.</t>
  </si>
  <si>
    <t>🛡️ AZUL — força residual</t>
  </si>
  <si>
    <t>⚔️ VERMELHA — força residual</t>
  </si>
  <si>
    <t>Salva n</t>
  </si>
  <si>
    <t>Σ Azul</t>
  </si>
  <si>
    <t>Σ Verm.</t>
  </si>
  <si>
    <t>Status / Modo</t>
  </si>
  <si>
    <t>INÍCIO</t>
  </si>
  <si>
    <t>RESUMO EXECUTIVO DO ENGAJAMENTO</t>
  </si>
  <si>
    <t>O resultado de um combate naval é determinado pelas forças NAVAIS sobreviventes (superfície + submarino). Aviação, costeiro e cibernético são tratados como forças de apoio. FPSOs são alvos a proteger.</t>
  </si>
  <si>
    <t>FORÇAS NAVAIS (s + u) — DETERMINAM O RESULTADO</t>
  </si>
  <si>
    <t>Naval inicial</t>
  </si>
  <si>
    <t>Naval final</t>
  </si>
  <si>
    <t>Indicador-chave</t>
  </si>
  <si>
    <t>Valor</t>
  </si>
  <si>
    <t>AZUL (s + u)</t>
  </si>
  <si>
    <t>Perda naval % AZUL</t>
  </si>
  <si>
    <t>VERMELHA (s + u)</t>
  </si>
  <si>
    <t>Perda naval % VERMELHA</t>
  </si>
  <si>
    <t>FPSOs sobreviventes</t>
  </si>
  <si>
    <t>Modo de engajamento</t>
  </si>
  <si>
    <t>FORÇAS DE APOIO (a + c) — Informativo</t>
  </si>
  <si>
    <t>Apoio inicial</t>
  </si>
  <si>
    <t>Apoio final</t>
  </si>
  <si>
    <t>Perda % apoio</t>
  </si>
  <si>
    <t>AZUL (a + c)</t>
  </si>
  <si>
    <t>Apoio AZUL</t>
  </si>
  <si>
    <t>VERMELHA (a + c)</t>
  </si>
  <si>
    <t>Apoio VERMELHA</t>
  </si>
  <si>
    <t>DETALHAMENTO POR UNIDADE</t>
  </si>
  <si>
    <t>Unidade Azul</t>
  </si>
  <si>
    <t>Inicial</t>
  </si>
  <si>
    <t>Final</t>
  </si>
  <si>
    <t>Unidade Vermelha</t>
  </si>
  <si>
    <t>TRAJETÓRIA DAS FORÇAS AGREGADAS POR SALVA</t>
  </si>
  <si>
    <t xml:space="preserve">em desenvolvimento </t>
  </si>
  <si>
    <t>v1.5 — versão protegida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</si>
</sst>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5"/>
      <color rgb="FFFFFFFF"/>
      <name val="Arial"/>
      <charset val="1"/>
    </font>
    <font>
      <i/>
      <sz val="9"/>
      <color rgb="FF606060"/>
      <name val="Arial"/>
      <charset val="1"/>
    </font>
    <font>
      <i/>
      <sz val="8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9C0006"/>
      <name val="Arial"/>
      <charset val="1"/>
    </font>
    <font>
      <i/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i/>
      <sz val="8"/>
      <color rgb="FF60606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i/>
      <sz val="10"/>
      <color rgb="FF000000"/>
      <name val="Arial"/>
      <charset val="1"/>
    </font>
    <font>
      <b/>
      <sz val="11"/>
      <color rgb="FF000000"/>
      <name val="Arial"/>
      <charset val="1"/>
    </font>
    <font>
      <sz val="8"/>
      <color rgb="FF000000"/>
      <name val="Arial"/>
      <charset val="1"/>
    </font>
    <font>
      <sz val="9"/>
      <name val="Arial"/>
      <charset val="1"/>
    </font>
    <font>
      <b/>
      <sz val="12"/>
      <color rgb="FF000000"/>
      <name val="Arial"/>
      <charset val="1"/>
    </font>
    <font>
      <i/>
      <sz val="11"/>
      <color rgb="FF0000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2E5984"/>
      </patternFill>
    </fill>
    <fill>
      <patternFill patternType="solid">
        <fgColor rgb="FFF2F2F2"/>
        <bgColor rgb="FFF0F0F0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C2E0C2"/>
      </patternFill>
    </fill>
    <fill>
      <patternFill patternType="solid">
        <fgColor rgb="FFFFC7CE"/>
        <bgColor rgb="FFF8CBAD"/>
      </patternFill>
    </fill>
    <fill>
      <patternFill patternType="solid">
        <fgColor rgb="FFD9E1F2"/>
        <bgColor rgb="FFDCE6F1"/>
      </patternFill>
    </fill>
    <fill>
      <patternFill patternType="solid">
        <fgColor rgb="FFF8CBAD"/>
        <bgColor rgb="FFFFC7CE"/>
      </patternFill>
    </fill>
    <fill>
      <patternFill patternType="solid">
        <fgColor rgb="FF2E5984"/>
        <bgColor rgb="FF1F3864"/>
      </patternFill>
    </fill>
    <fill>
      <patternFill patternType="solid">
        <fgColor rgb="FFC00000"/>
        <bgColor rgb="FF9C0006"/>
      </patternFill>
    </fill>
    <fill>
      <patternFill patternType="solid">
        <fgColor rgb="FFDCE6F1"/>
        <bgColor rgb="FFD9E1F2"/>
      </patternFill>
    </fill>
    <fill>
      <patternFill patternType="solid">
        <fgColor rgb="FFC2E0C2"/>
        <bgColor rgb="FFC6EFCE"/>
      </patternFill>
    </fill>
    <fill>
      <patternFill patternType="solid">
        <fgColor rgb="FFE0E0E0"/>
        <bgColor rgb="FFD9D9D9"/>
      </patternFill>
    </fill>
    <fill>
      <patternFill patternType="solid">
        <fgColor rgb="FFF2DCDB"/>
        <bgColor rgb="FFE0E0E0"/>
      </patternFill>
    </fill>
    <fill>
      <patternFill patternType="solid">
        <fgColor rgb="FFE4D9F0"/>
        <bgColor rgb="FFE0E0E0"/>
      </patternFill>
    </fill>
    <fill>
      <patternFill patternType="solid">
        <fgColor rgb="FFD9D9D9"/>
        <bgColor rgb="FFE0E0E0"/>
      </patternFill>
    </fill>
    <fill>
      <patternFill patternType="solid">
        <fgColor rgb="FF606060"/>
        <bgColor rgb="FF2E5984"/>
      </patternFill>
    </fill>
    <fill>
      <patternFill patternType="solid">
        <fgColor rgb="FFF0F0F0"/>
        <bgColor rgb="FFF2F2F2"/>
      </patternFill>
    </fill>
    <fill>
      <patternFill patternType="solid">
        <fgColor rgb="FFFFEB9C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9" fillId="12" borderId="2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left" vertical="center" wrapText="1"/>
    </xf>
    <xf numFmtId="0" fontId="18" fillId="2" borderId="2" xfId="0" applyFont="1" applyFill="1" applyBorder="1" applyAlignment="1" applyProtection="1">
      <alignment horizontal="center" vertical="center"/>
    </xf>
    <xf numFmtId="0" fontId="8" fillId="11" borderId="2" xfId="0" applyFont="1" applyFill="1" applyBorder="1" applyAlignment="1" applyProtection="1">
      <alignment horizontal="center" vertical="center"/>
    </xf>
    <xf numFmtId="0" fontId="8" fillId="10" borderId="2" xfId="0" applyFont="1" applyFill="1" applyBorder="1" applyAlignment="1" applyProtection="1">
      <alignment horizontal="center" vertical="center"/>
    </xf>
    <xf numFmtId="0" fontId="15" fillId="2" borderId="2" xfId="0" applyFont="1" applyFill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left" vertical="center" wrapText="1"/>
    </xf>
    <xf numFmtId="0" fontId="13" fillId="7" borderId="2" xfId="0" applyFont="1" applyFill="1" applyBorder="1" applyAlignment="1" applyProtection="1">
      <alignment horizontal="center" vertical="center"/>
    </xf>
    <xf numFmtId="0" fontId="8" fillId="3" borderId="2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left" vertical="center"/>
    </xf>
    <xf numFmtId="0" fontId="1" fillId="2" borderId="0" xfId="0" applyFont="1" applyFill="1" applyBorder="1" applyAlignment="1" applyProtection="1">
      <alignment horizontal="left" vertical="center"/>
    </xf>
    <xf numFmtId="0" fontId="0" fillId="0" borderId="0" xfId="0" applyAlignment="1" applyProtection="1"/>
    <xf numFmtId="0" fontId="3" fillId="4" borderId="1" xfId="0" applyFont="1" applyFill="1" applyBorder="1" applyAlignment="1" applyProtection="1">
      <alignment horizontal="left" vertical="center" indent="1"/>
    </xf>
    <xf numFmtId="0" fontId="4" fillId="0" borderId="1" xfId="0" applyFont="1" applyBorder="1" applyAlignment="1" applyProtection="1">
      <alignment horizontal="left" vertical="center" indent="1"/>
    </xf>
    <xf numFmtId="0" fontId="4" fillId="0" borderId="1" xfId="0" applyFont="1" applyBorder="1" applyAlignment="1" applyProtection="1">
      <alignment horizontal="left" vertical="center" wrapText="1" indent="1"/>
    </xf>
    <xf numFmtId="0" fontId="3" fillId="4" borderId="1" xfId="0" applyFont="1" applyFill="1" applyBorder="1" applyAlignment="1" applyProtection="1"/>
    <xf numFmtId="0" fontId="4" fillId="0" borderId="1" xfId="0" applyFont="1" applyBorder="1" applyAlignment="1" applyProtection="1">
      <alignment horizontal="left" indent="1"/>
    </xf>
    <xf numFmtId="0" fontId="9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 wrapText="1"/>
    </xf>
    <xf numFmtId="0" fontId="11" fillId="4" borderId="3" xfId="0" applyFont="1" applyFill="1" applyBorder="1" applyAlignment="1" applyProtection="1">
      <alignment horizontal="left" vertical="center"/>
    </xf>
    <xf numFmtId="0" fontId="12" fillId="0" borderId="0" xfId="0" applyFont="1" applyAlignment="1" applyProtection="1">
      <alignment horizontal="left" vertical="center" wrapText="1"/>
    </xf>
    <xf numFmtId="0" fontId="10" fillId="5" borderId="3" xfId="0" applyFont="1" applyFill="1" applyBorder="1" applyAlignment="1" applyProtection="1">
      <alignment horizontal="left" vertical="center"/>
    </xf>
    <xf numFmtId="0" fontId="10" fillId="0" borderId="0" xfId="0" applyFont="1" applyAlignment="1" applyProtection="1">
      <alignment horizontal="left" vertical="center"/>
    </xf>
    <xf numFmtId="0" fontId="10" fillId="4" borderId="3" xfId="0" applyFont="1" applyFill="1" applyBorder="1" applyAlignment="1" applyProtection="1">
      <alignment horizontal="left" vertical="center"/>
    </xf>
    <xf numFmtId="0" fontId="10" fillId="6" borderId="3" xfId="0" applyFont="1" applyFill="1" applyBorder="1" applyAlignment="1" applyProtection="1">
      <alignment horizontal="left" vertical="center"/>
    </xf>
    <xf numFmtId="0" fontId="10" fillId="7" borderId="3" xfId="0" applyFont="1" applyFill="1" applyBorder="1" applyAlignment="1" applyProtection="1">
      <alignment horizontal="left" vertical="center"/>
    </xf>
    <xf numFmtId="0" fontId="10" fillId="8" borderId="3" xfId="0" applyFont="1" applyFill="1" applyBorder="1" applyAlignment="1" applyProtection="1">
      <alignment horizontal="left" vertical="center"/>
    </xf>
    <xf numFmtId="0" fontId="10" fillId="9" borderId="3" xfId="0" applyFont="1" applyFill="1" applyBorder="1" applyAlignment="1" applyProtection="1">
      <alignment horizontal="left" vertical="center"/>
    </xf>
    <xf numFmtId="0" fontId="16" fillId="2" borderId="3" xfId="0" applyFont="1" applyFill="1" applyBorder="1" applyAlignment="1" applyProtection="1">
      <alignment horizontal="center" vertical="center"/>
    </xf>
    <xf numFmtId="0" fontId="11" fillId="12" borderId="3" xfId="0" applyFont="1" applyFill="1" applyBorder="1" applyAlignment="1" applyProtection="1">
      <alignment horizontal="center" vertical="center"/>
    </xf>
    <xf numFmtId="1" fontId="17" fillId="5" borderId="3" xfId="0" applyNumberFormat="1" applyFont="1" applyFill="1" applyBorder="1" applyAlignment="1" applyProtection="1">
      <alignment horizontal="center" vertical="center"/>
      <protection locked="0"/>
    </xf>
    <xf numFmtId="0" fontId="11" fillId="13" borderId="3" xfId="0" applyFont="1" applyFill="1" applyBorder="1" applyAlignment="1" applyProtection="1">
      <alignment horizontal="center" vertical="center"/>
    </xf>
    <xf numFmtId="0" fontId="11" fillId="14" borderId="3" xfId="0" applyFont="1" applyFill="1" applyBorder="1" applyAlignment="1" applyProtection="1">
      <alignment horizontal="center" vertical="center"/>
    </xf>
    <xf numFmtId="0" fontId="11" fillId="15" borderId="3" xfId="0" applyFont="1" applyFill="1" applyBorder="1" applyAlignment="1" applyProtection="1">
      <alignment horizontal="center" vertical="center"/>
    </xf>
    <xf numFmtId="0" fontId="20" fillId="2" borderId="3" xfId="0" applyFont="1" applyFill="1" applyBorder="1" applyAlignment="1" applyProtection="1">
      <alignment horizontal="center" vertical="center" wrapText="1"/>
    </xf>
    <xf numFmtId="0" fontId="12" fillId="8" borderId="3" xfId="0" applyFont="1" applyFill="1" applyBorder="1" applyAlignment="1" applyProtection="1">
      <alignment horizontal="left" vertical="center"/>
    </xf>
    <xf numFmtId="0" fontId="12" fillId="4" borderId="3" xfId="0" applyFont="1" applyFill="1" applyBorder="1" applyAlignment="1" applyProtection="1">
      <alignment horizontal="left" vertical="center"/>
    </xf>
    <xf numFmtId="2" fontId="17" fillId="5" borderId="3" xfId="0" applyNumberFormat="1" applyFont="1" applyFill="1" applyBorder="1" applyAlignment="1" applyProtection="1">
      <alignment horizontal="center" vertical="center"/>
      <protection locked="0"/>
    </xf>
    <xf numFmtId="164" fontId="17" fillId="5" borderId="3" xfId="0" applyNumberFormat="1" applyFont="1" applyFill="1" applyBorder="1" applyAlignment="1" applyProtection="1">
      <alignment horizontal="center" vertical="center"/>
      <protection locked="0"/>
    </xf>
    <xf numFmtId="0" fontId="12" fillId="9" borderId="3" xfId="0" applyFont="1" applyFill="1" applyBorder="1" applyAlignment="1" applyProtection="1">
      <alignment horizontal="left" vertical="center"/>
    </xf>
    <xf numFmtId="0" fontId="21" fillId="2" borderId="3" xfId="0" applyFont="1" applyFill="1" applyBorder="1" applyAlignment="1" applyProtection="1">
      <alignment horizontal="center" vertical="center"/>
    </xf>
    <xf numFmtId="0" fontId="21" fillId="12" borderId="3" xfId="0" applyFont="1" applyFill="1" applyBorder="1" applyAlignment="1" applyProtection="1">
      <alignment horizontal="center" vertical="center" wrapText="1"/>
    </xf>
    <xf numFmtId="0" fontId="21" fillId="14" borderId="3" xfId="0" applyFont="1" applyFill="1" applyBorder="1" applyAlignment="1" applyProtection="1">
      <alignment horizontal="center" vertical="center" wrapText="1"/>
    </xf>
    <xf numFmtId="0" fontId="20" fillId="2" borderId="3" xfId="0" applyFont="1" applyFill="1" applyBorder="1" applyAlignment="1" applyProtection="1">
      <alignment horizontal="center" vertical="center"/>
    </xf>
    <xf numFmtId="2" fontId="10" fillId="6" borderId="3" xfId="0" applyNumberFormat="1" applyFont="1" applyFill="1" applyBorder="1" applyAlignment="1" applyProtection="1">
      <alignment horizontal="center" vertical="center"/>
    </xf>
    <xf numFmtId="0" fontId="21" fillId="13" borderId="3" xfId="0" applyFont="1" applyFill="1" applyBorder="1" applyAlignment="1" applyProtection="1">
      <alignment horizontal="center" vertical="center" wrapText="1"/>
    </xf>
    <xf numFmtId="0" fontId="21" fillId="15" borderId="3" xfId="0" applyFont="1" applyFill="1" applyBorder="1" applyAlignment="1" applyProtection="1">
      <alignment horizontal="center" vertical="center" wrapText="1"/>
    </xf>
    <xf numFmtId="0" fontId="11" fillId="16" borderId="3" xfId="0" applyFont="1" applyFill="1" applyBorder="1" applyAlignment="1" applyProtection="1">
      <alignment horizontal="center" vertical="center"/>
    </xf>
    <xf numFmtId="0" fontId="14" fillId="4" borderId="3" xfId="0" applyFont="1" applyFill="1" applyBorder="1" applyAlignment="1" applyProtection="1">
      <alignment horizontal="left" vertical="center"/>
    </xf>
    <xf numFmtId="2" fontId="10" fillId="4" borderId="3" xfId="0" applyNumberFormat="1" applyFont="1" applyFill="1" applyBorder="1" applyAlignment="1" applyProtection="1">
      <alignment horizontal="center" vertical="center"/>
    </xf>
    <xf numFmtId="165" fontId="11" fillId="6" borderId="3" xfId="0" applyNumberFormat="1" applyFont="1" applyFill="1" applyBorder="1" applyAlignment="1" applyProtection="1">
      <alignment horizontal="center" vertical="center"/>
    </xf>
    <xf numFmtId="0" fontId="11" fillId="8" borderId="3" xfId="0" applyFont="1" applyFill="1" applyBorder="1" applyAlignment="1" applyProtection="1">
      <alignment horizontal="left" vertical="center"/>
    </xf>
    <xf numFmtId="0" fontId="11" fillId="9" borderId="3" xfId="0" applyFont="1" applyFill="1" applyBorder="1" applyAlignment="1" applyProtection="1">
      <alignment horizontal="left" vertical="center"/>
    </xf>
    <xf numFmtId="0" fontId="22" fillId="13" borderId="3" xfId="0" applyFont="1" applyFill="1" applyBorder="1" applyAlignment="1" applyProtection="1">
      <alignment horizontal="left" vertical="center"/>
    </xf>
    <xf numFmtId="165" fontId="10" fillId="13" borderId="3" xfId="0" applyNumberFormat="1" applyFont="1" applyFill="1" applyBorder="1" applyAlignment="1" applyProtection="1">
      <alignment horizontal="center" vertical="center"/>
    </xf>
    <xf numFmtId="0" fontId="23" fillId="17" borderId="3" xfId="0" applyFont="1" applyFill="1" applyBorder="1" applyAlignment="1" applyProtection="1">
      <alignment horizontal="left" vertical="center"/>
    </xf>
    <xf numFmtId="49" fontId="17" fillId="5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</xf>
    <xf numFmtId="0" fontId="16" fillId="12" borderId="3" xfId="0" applyFont="1" applyFill="1" applyBorder="1" applyAlignment="1" applyProtection="1">
      <alignment horizontal="center" vertical="center"/>
    </xf>
    <xf numFmtId="0" fontId="16" fillId="13" borderId="3" xfId="0" applyFont="1" applyFill="1" applyBorder="1" applyAlignment="1" applyProtection="1">
      <alignment horizontal="center" vertical="center"/>
    </xf>
    <xf numFmtId="0" fontId="16" fillId="14" borderId="3" xfId="0" applyFont="1" applyFill="1" applyBorder="1" applyAlignment="1" applyProtection="1">
      <alignment horizontal="center" vertical="center"/>
    </xf>
    <xf numFmtId="0" fontId="16" fillId="15" borderId="3" xfId="0" applyFont="1" applyFill="1" applyBorder="1" applyAlignment="1" applyProtection="1">
      <alignment horizontal="center" vertical="center"/>
    </xf>
    <xf numFmtId="164" fontId="17" fillId="6" borderId="3" xfId="0" applyNumberFormat="1" applyFont="1" applyFill="1" applyBorder="1" applyAlignment="1" applyProtection="1">
      <alignment horizontal="center" vertical="center"/>
      <protection locked="0"/>
    </xf>
    <xf numFmtId="0" fontId="16" fillId="16" borderId="3" xfId="0" applyFont="1" applyFill="1" applyBorder="1" applyAlignment="1" applyProtection="1">
      <alignment horizontal="center" vertical="center"/>
    </xf>
    <xf numFmtId="0" fontId="24" fillId="14" borderId="3" xfId="0" applyFont="1" applyFill="1" applyBorder="1" applyAlignment="1" applyProtection="1">
      <alignment horizontal="center" vertical="center"/>
    </xf>
    <xf numFmtId="165" fontId="25" fillId="0" borderId="3" xfId="0" applyNumberFormat="1" applyFont="1" applyBorder="1" applyAlignment="1" applyProtection="1">
      <alignment horizontal="center" vertical="center"/>
    </xf>
    <xf numFmtId="0" fontId="16" fillId="10" borderId="3" xfId="0" applyFont="1" applyFill="1" applyBorder="1" applyAlignment="1" applyProtection="1">
      <alignment horizontal="center" vertical="center"/>
    </xf>
    <xf numFmtId="0" fontId="16" fillId="11" borderId="3" xfId="0" applyFont="1" applyFill="1" applyBorder="1" applyAlignment="1" applyProtection="1">
      <alignment horizontal="center" vertical="center"/>
    </xf>
    <xf numFmtId="1" fontId="11" fillId="17" borderId="3" xfId="0" applyNumberFormat="1" applyFont="1" applyFill="1" applyBorder="1" applyAlignment="1" applyProtection="1">
      <alignment horizontal="center" vertical="center"/>
    </xf>
    <xf numFmtId="2" fontId="11" fillId="8" borderId="3" xfId="0" applyNumberFormat="1" applyFont="1" applyFill="1" applyBorder="1" applyAlignment="1" applyProtection="1">
      <alignment horizontal="center" vertical="center"/>
    </xf>
    <xf numFmtId="2" fontId="11" fillId="9" borderId="3" xfId="0" applyNumberFormat="1" applyFont="1" applyFill="1" applyBorder="1" applyAlignment="1" applyProtection="1">
      <alignment horizontal="center" vertical="center"/>
    </xf>
    <xf numFmtId="2" fontId="16" fillId="10" borderId="3" xfId="0" applyNumberFormat="1" applyFont="1" applyFill="1" applyBorder="1" applyAlignment="1" applyProtection="1">
      <alignment horizontal="center" vertical="center"/>
    </xf>
    <xf numFmtId="2" fontId="16" fillId="11" borderId="3" xfId="0" applyNumberFormat="1" applyFont="1" applyFill="1" applyBorder="1" applyAlignment="1" applyProtection="1">
      <alignment horizontal="center" vertical="center"/>
    </xf>
    <xf numFmtId="0" fontId="22" fillId="17" borderId="3" xfId="0" applyFont="1" applyFill="1" applyBorder="1" applyAlignment="1" applyProtection="1">
      <alignment horizontal="center" vertical="center"/>
    </xf>
    <xf numFmtId="1" fontId="11" fillId="19" borderId="3" xfId="0" applyNumberFormat="1" applyFont="1" applyFill="1" applyBorder="1" applyAlignment="1" applyProtection="1">
      <alignment horizontal="center" vertical="center"/>
    </xf>
    <xf numFmtId="2" fontId="10" fillId="8" borderId="3" xfId="0" applyNumberFormat="1" applyFont="1" applyFill="1" applyBorder="1" applyAlignment="1" applyProtection="1">
      <alignment horizontal="center" vertical="center"/>
    </xf>
    <xf numFmtId="2" fontId="10" fillId="9" borderId="3" xfId="0" applyNumberFormat="1" applyFont="1" applyFill="1" applyBorder="1" applyAlignment="1" applyProtection="1">
      <alignment horizontal="center" vertical="center"/>
    </xf>
    <xf numFmtId="49" fontId="11" fillId="19" borderId="3" xfId="0" applyNumberFormat="1" applyFont="1" applyFill="1" applyBorder="1" applyAlignment="1" applyProtection="1">
      <alignment horizontal="center" vertical="center"/>
    </xf>
    <xf numFmtId="2" fontId="11" fillId="6" borderId="3" xfId="0" applyNumberFormat="1" applyFont="1" applyFill="1" applyBorder="1" applyAlignment="1" applyProtection="1">
      <alignment horizontal="center" vertical="center"/>
    </xf>
    <xf numFmtId="166" fontId="11" fillId="6" borderId="3" xfId="0" applyNumberFormat="1" applyFont="1" applyFill="1" applyBorder="1" applyAlignment="1" applyProtection="1">
      <alignment horizontal="center" vertical="center"/>
    </xf>
    <xf numFmtId="0" fontId="11" fillId="15" borderId="3" xfId="0" applyFont="1" applyFill="1" applyBorder="1" applyAlignment="1" applyProtection="1">
      <alignment horizontal="left" vertical="center"/>
    </xf>
    <xf numFmtId="49" fontId="11" fillId="6" borderId="3" xfId="0" applyNumberFormat="1" applyFont="1" applyFill="1" applyBorder="1" applyAlignment="1" applyProtection="1">
      <alignment horizontal="center" vertical="center"/>
    </xf>
    <xf numFmtId="0" fontId="11" fillId="17" borderId="3" xfId="0" applyFont="1" applyFill="1" applyBorder="1" applyAlignment="1" applyProtection="1">
      <alignment horizontal="left" vertical="center"/>
    </xf>
    <xf numFmtId="49" fontId="11" fillId="17" borderId="3" xfId="0" applyNumberFormat="1" applyFont="1" applyFill="1" applyBorder="1" applyAlignment="1" applyProtection="1">
      <alignment horizontal="center" vertical="center"/>
    </xf>
    <xf numFmtId="166" fontId="11" fillId="8" borderId="3" xfId="0" applyNumberFormat="1" applyFont="1" applyFill="1" applyBorder="1" applyAlignment="1" applyProtection="1">
      <alignment horizontal="center" vertical="center"/>
    </xf>
    <xf numFmtId="166" fontId="11" fillId="9" borderId="3" xfId="0" applyNumberFormat="1" applyFont="1" applyFill="1" applyBorder="1" applyAlignment="1" applyProtection="1">
      <alignment horizontal="center" vertical="center"/>
    </xf>
    <xf numFmtId="0" fontId="12" fillId="12" borderId="3" xfId="0" applyFont="1" applyFill="1" applyBorder="1" applyAlignment="1" applyProtection="1">
      <alignment horizontal="left" vertical="center"/>
    </xf>
    <xf numFmtId="0" fontId="12" fillId="13" borderId="3" xfId="0" applyFont="1" applyFill="1" applyBorder="1" applyAlignment="1" applyProtection="1">
      <alignment horizontal="left" vertical="center"/>
    </xf>
    <xf numFmtId="0" fontId="12" fillId="14" borderId="3" xfId="0" applyFont="1" applyFill="1" applyBorder="1" applyAlignment="1" applyProtection="1">
      <alignment horizontal="left" vertical="center"/>
    </xf>
    <xf numFmtId="0" fontId="12" fillId="15" borderId="3" xfId="0" applyFont="1" applyFill="1" applyBorder="1" applyAlignment="1" applyProtection="1">
      <alignment horizontal="left" vertical="center"/>
    </xf>
    <xf numFmtId="0" fontId="9" fillId="13" borderId="2" xfId="0" applyFont="1" applyFill="1" applyBorder="1" applyAlignment="1" applyProtection="1">
      <alignment horizontal="center" vertical="center"/>
    </xf>
    <xf numFmtId="0" fontId="9" fillId="14" borderId="2" xfId="0" applyFont="1" applyFill="1" applyBorder="1" applyAlignment="1" applyProtection="1">
      <alignment horizontal="center" vertical="center"/>
    </xf>
    <xf numFmtId="0" fontId="9" fillId="15" borderId="2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 wrapText="1"/>
    </xf>
    <xf numFmtId="0" fontId="8" fillId="18" borderId="2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</xf>
    <xf numFmtId="0" fontId="16" fillId="10" borderId="2" xfId="0" applyFont="1" applyFill="1" applyBorder="1" applyAlignment="1" applyProtection="1">
      <alignment horizontal="center" vertical="center"/>
    </xf>
    <xf numFmtId="0" fontId="16" fillId="11" borderId="2" xfId="0" applyFont="1" applyFill="1" applyBorder="1" applyAlignment="1" applyProtection="1">
      <alignment horizontal="center" vertical="center"/>
    </xf>
    <xf numFmtId="49" fontId="26" fillId="20" borderId="2" xfId="0" applyNumberFormat="1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indent="1"/>
    </xf>
  </cellXfs>
  <cellStyles count="1">
    <cellStyle name="Normal" xfId="0" builtinId="0"/>
  </cellStyles>
  <dxfs count="8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0E0E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D9E1F2"/>
      <rgbColor rgb="FFAA433F"/>
      <rgbColor rgb="FFFFF2CC"/>
      <rgbColor rgb="FFDCE6F1"/>
      <rgbColor rgb="FF660066"/>
      <rgbColor rgb="FFCC8F8E"/>
      <rgbColor rgb="FF0066CC"/>
      <rgbColor rgb="FFE4D9F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F0F0F0"/>
      <rgbColor rgb="FFC6EFCE"/>
      <rgbColor rgb="FFFFEB9C"/>
      <rgbColor rgb="FFC2E0C2"/>
      <rgbColor rgb="FFFFC7CE"/>
      <rgbColor rgb="FFD9D9D9"/>
      <rgbColor rgb="FFF8CBAD"/>
      <rgbColor rgb="FF4472C4"/>
      <rgbColor rgb="FF33CCCC"/>
      <rgbColor rgb="FF99CC00"/>
      <rgbColor rgb="FFF2DCDB"/>
      <rgbColor rgb="FFFF9900"/>
      <rgbColor rgb="FFFF6600"/>
      <rgbColor rgb="FF606060"/>
      <rgbColor rgb="FF878787"/>
      <rgbColor rgb="FF1F3864"/>
      <rgbColor rgb="FF339966"/>
      <rgbColor rgb="FF003300"/>
      <rgbColor rgb="FF333300"/>
      <rgbColor rgb="FF993300"/>
      <rgbColor rgb="FF993366"/>
      <rgbColor rgb="FF2E598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Forças totais por salva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'9.Simulação'!P6</c:f>
              <c:strCache>
                <c:ptCount val="1"/>
                <c:pt idx="0">
                  <c:v>Σ Azul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'9.Simulação'!$B$7:$B$17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'9.Simulação'!$P$7:$P$17</c:f>
              <c:numCache>
                <c:formatCode>0.00</c:formatCode>
                <c:ptCount val="11"/>
                <c:pt idx="0">
                  <c:v>18</c:v>
                </c:pt>
                <c:pt idx="1">
                  <c:v>17.959550189987745</c:v>
                </c:pt>
                <c:pt idx="2">
                  <c:v>17.91916108246382</c:v>
                </c:pt>
                <c:pt idx="3">
                  <c:v>17.878834916054124</c:v>
                </c:pt>
                <c:pt idx="4">
                  <c:v>17.838568075332297</c:v>
                </c:pt>
                <c:pt idx="5">
                  <c:v>17.79831350249189</c:v>
                </c:pt>
                <c:pt idx="6">
                  <c:v>17.7580730653223</c:v>
                </c:pt>
                <c:pt idx="7">
                  <c:v>17.717848667859499</c:v>
                </c:pt>
                <c:pt idx="8">
                  <c:v>17.677642250984011</c:v>
                </c:pt>
                <c:pt idx="9">
                  <c:v>17.637455793028302</c:v>
                </c:pt>
                <c:pt idx="10">
                  <c:v>17.597291310393807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01-554D-B657-E1D0234D48F3}"/>
            </c:ext>
          </c:extLst>
        </c:ser>
        <c:ser>
          <c:idx val="1"/>
          <c:order val="1"/>
          <c:tx>
            <c:strRef>
              <c:f>'9.Simulação'!Q6</c:f>
              <c:strCache>
                <c:ptCount val="1"/>
                <c:pt idx="0">
                  <c:v>Σ Verm.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'9.Simulação'!$B$7:$B$17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'9.Simulação'!$Q$7:$Q$17</c:f>
              <c:numCache>
                <c:formatCode>0.00</c:formatCode>
                <c:ptCount val="11"/>
                <c:pt idx="0">
                  <c:v>15</c:v>
                </c:pt>
                <c:pt idx="1">
                  <c:v>14.952771920624166</c:v>
                </c:pt>
                <c:pt idx="2">
                  <c:v>14.905237708525441</c:v>
                </c:pt>
                <c:pt idx="3">
                  <c:v>14.857393745921074</c:v>
                </c:pt>
                <c:pt idx="4">
                  <c:v>14.809236364736851</c:v>
                </c:pt>
                <c:pt idx="5">
                  <c:v>14.760761870616211</c:v>
                </c:pt>
                <c:pt idx="6">
                  <c:v>14.711966725059266</c:v>
                </c:pt>
                <c:pt idx="7">
                  <c:v>14.662847341584557</c:v>
                </c:pt>
                <c:pt idx="8">
                  <c:v>14.613400085023626</c:v>
                </c:pt>
                <c:pt idx="9">
                  <c:v>14.563621270804877</c:v>
                </c:pt>
                <c:pt idx="10">
                  <c:v>14.513507164226592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01-554D-B657-E1D0234D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568118"/>
        <c:axId val="66751343"/>
      </c:lineChart>
      <c:catAx>
        <c:axId val="38568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Salva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751343"/>
        <c:crosses val="autoZero"/>
        <c:auto val="1"/>
        <c:lblAlgn val="ctr"/>
        <c:lblOffset val="100"/>
        <c:noMultiLvlLbl val="0"/>
      </c:catAx>
      <c:valAx>
        <c:axId val="66751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Força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85681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6</xdr:col>
      <xdr:colOff>573480</xdr:colOff>
      <xdr:row>48</xdr:row>
      <xdr:rowOff>169920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9"/>
  <sheetViews>
    <sheetView showGridLines="0" topLeftCell="A7" zoomScaleNormal="100" workbookViewId="0">
      <selection activeCell="E8" sqref="E8"/>
    </sheetView>
  </sheetViews>
  <sheetFormatPr defaultColWidth="8.7421875" defaultRowHeight="15" x14ac:dyDescent="0.2"/>
  <cols>
    <col min="1" max="1" width="2.015625" style="15" customWidth="1"/>
    <col min="2" max="2" width="36.05078125" style="15" customWidth="1"/>
    <col min="3" max="3" width="69.94921875" style="15" customWidth="1"/>
    <col min="4" max="4" width="2.015625" style="15" customWidth="1"/>
  </cols>
  <sheetData>
    <row r="2" spans="2:3" ht="19.5" customHeight="1" x14ac:dyDescent="0.2">
      <c r="B2" s="12" t="s">
        <v>38</v>
      </c>
      <c r="C2" s="12"/>
    </row>
    <row r="3" spans="2:3" x14ac:dyDescent="0.2">
      <c r="B3" s="11" t="s">
        <v>39</v>
      </c>
      <c r="C3" s="11"/>
    </row>
    <row r="4" spans="2:3" x14ac:dyDescent="0.2">
      <c r="B4" s="10" t="s">
        <v>40</v>
      </c>
      <c r="C4" s="10"/>
    </row>
    <row r="6" spans="2:3" ht="19.5" customHeight="1" x14ac:dyDescent="0.2">
      <c r="B6" s="9" t="s">
        <v>41</v>
      </c>
      <c r="C6" s="9"/>
    </row>
    <row r="7" spans="2:3" ht="21.75" customHeight="1" x14ac:dyDescent="0.2">
      <c r="B7" s="21" t="s">
        <v>42</v>
      </c>
      <c r="C7" s="22" t="s">
        <v>43</v>
      </c>
    </row>
    <row r="8" spans="2:3" ht="21.75" customHeight="1" x14ac:dyDescent="0.2">
      <c r="B8" s="21" t="s">
        <v>44</v>
      </c>
      <c r="C8" s="22" t="s">
        <v>45</v>
      </c>
    </row>
    <row r="9" spans="2:3" ht="21.75" customHeight="1" x14ac:dyDescent="0.2">
      <c r="B9" s="21" t="s">
        <v>46</v>
      </c>
      <c r="C9" s="22" t="s">
        <v>47</v>
      </c>
    </row>
    <row r="10" spans="2:3" ht="21.75" customHeight="1" x14ac:dyDescent="0.2">
      <c r="B10" s="21" t="s">
        <v>48</v>
      </c>
      <c r="C10" s="22" t="s">
        <v>49</v>
      </c>
    </row>
    <row r="11" spans="2:3" ht="21.75" customHeight="1" x14ac:dyDescent="0.2">
      <c r="B11" s="21" t="s">
        <v>50</v>
      </c>
      <c r="C11" s="22" t="s">
        <v>51</v>
      </c>
    </row>
    <row r="12" spans="2:3" ht="21.75" customHeight="1" x14ac:dyDescent="0.2">
      <c r="B12" s="21" t="s">
        <v>52</v>
      </c>
      <c r="C12" s="22" t="s">
        <v>53</v>
      </c>
    </row>
    <row r="13" spans="2:3" ht="21.75" customHeight="1" x14ac:dyDescent="0.2">
      <c r="B13" s="21" t="s">
        <v>54</v>
      </c>
      <c r="C13" s="22" t="s">
        <v>55</v>
      </c>
    </row>
    <row r="15" spans="2:3" ht="19.5" customHeight="1" x14ac:dyDescent="0.2">
      <c r="B15" s="9" t="s">
        <v>56</v>
      </c>
      <c r="C15" s="9"/>
    </row>
    <row r="16" spans="2:3" ht="30" customHeight="1" x14ac:dyDescent="0.2">
      <c r="B16" s="23" t="s">
        <v>57</v>
      </c>
      <c r="C16" s="24" t="s">
        <v>58</v>
      </c>
    </row>
    <row r="17" spans="2:3" ht="30" customHeight="1" x14ac:dyDescent="0.2">
      <c r="B17" s="23" t="s">
        <v>59</v>
      </c>
      <c r="C17" s="24" t="s">
        <v>60</v>
      </c>
    </row>
    <row r="18" spans="2:3" ht="30" customHeight="1" x14ac:dyDescent="0.2">
      <c r="B18" s="23" t="s">
        <v>61</v>
      </c>
      <c r="C18" s="24" t="s">
        <v>62</v>
      </c>
    </row>
    <row r="20" spans="2:3" ht="19.5" customHeight="1" x14ac:dyDescent="0.2">
      <c r="B20" s="9" t="s">
        <v>63</v>
      </c>
      <c r="C20" s="9"/>
    </row>
    <row r="21" spans="2:3" x14ac:dyDescent="0.2">
      <c r="B21" s="25" t="s">
        <v>64</v>
      </c>
      <c r="C21" s="26" t="s">
        <v>65</v>
      </c>
    </row>
    <row r="22" spans="2:3" x14ac:dyDescent="0.2">
      <c r="B22" s="27" t="s">
        <v>64</v>
      </c>
      <c r="C22" s="26" t="s">
        <v>66</v>
      </c>
    </row>
    <row r="23" spans="2:3" x14ac:dyDescent="0.2">
      <c r="B23" s="28" t="s">
        <v>64</v>
      </c>
      <c r="C23" s="26" t="s">
        <v>67</v>
      </c>
    </row>
    <row r="24" spans="2:3" x14ac:dyDescent="0.2">
      <c r="B24" s="29" t="s">
        <v>64</v>
      </c>
      <c r="C24" s="26" t="s">
        <v>68</v>
      </c>
    </row>
    <row r="25" spans="2:3" x14ac:dyDescent="0.2">
      <c r="B25" s="30" t="s">
        <v>64</v>
      </c>
      <c r="C25" s="26" t="s">
        <v>69</v>
      </c>
    </row>
    <row r="26" spans="2:3" x14ac:dyDescent="0.2">
      <c r="B26" s="31" t="s">
        <v>64</v>
      </c>
      <c r="C26" s="26" t="s">
        <v>70</v>
      </c>
    </row>
    <row r="28" spans="2:3" ht="19.5" customHeight="1" x14ac:dyDescent="0.2">
      <c r="B28" s="8" t="s">
        <v>71</v>
      </c>
      <c r="C28" s="8"/>
    </row>
    <row r="29" spans="2:3" ht="36" customHeight="1" x14ac:dyDescent="0.2">
      <c r="B29" s="7" t="s">
        <v>72</v>
      </c>
      <c r="C29" s="7"/>
    </row>
  </sheetData>
  <sheetProtection sheet="1" objects="1" scenarios="1"/>
  <mergeCells count="8">
    <mergeCell ref="B20:C20"/>
    <mergeCell ref="B28:C28"/>
    <mergeCell ref="B29:C29"/>
    <mergeCell ref="B2:C2"/>
    <mergeCell ref="B3:C3"/>
    <mergeCell ref="B4:C4"/>
    <mergeCell ref="B6:C6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2"/>
  <sheetViews>
    <sheetView showGridLines="0" zoomScaleNormal="100" workbookViewId="0">
      <selection activeCell="D9" sqref="D9"/>
    </sheetView>
  </sheetViews>
  <sheetFormatPr defaultColWidth="8.7421875" defaultRowHeight="15" x14ac:dyDescent="0.2"/>
  <cols>
    <col min="1" max="1" width="2.015625" style="15" customWidth="1"/>
    <col min="2" max="2" width="25.9609375" style="15" customWidth="1"/>
    <col min="3" max="3" width="9.01171875" style="15" customWidth="1"/>
    <col min="4" max="4" width="11.02734375" style="15" customWidth="1"/>
    <col min="5" max="5" width="4.03515625" style="15" customWidth="1"/>
    <col min="6" max="6" width="25.9609375" style="15" customWidth="1"/>
    <col min="7" max="7" width="9.01171875" style="15" customWidth="1"/>
    <col min="8" max="8" width="11.02734375" style="15" customWidth="1"/>
  </cols>
  <sheetData>
    <row r="2" spans="2:8" ht="19.5" customHeight="1" x14ac:dyDescent="0.2">
      <c r="B2" s="6" t="s">
        <v>73</v>
      </c>
      <c r="C2" s="6"/>
      <c r="D2" s="6"/>
      <c r="E2" s="6"/>
      <c r="F2" s="6"/>
      <c r="G2" s="6"/>
      <c r="H2" s="6"/>
    </row>
    <row r="4" spans="2:8" ht="19.5" customHeight="1" x14ac:dyDescent="0.2">
      <c r="B4" s="5" t="s">
        <v>74</v>
      </c>
      <c r="C4" s="5"/>
      <c r="D4" s="5"/>
      <c r="F4" s="4" t="s">
        <v>75</v>
      </c>
      <c r="G4" s="4"/>
      <c r="H4" s="4"/>
    </row>
    <row r="5" spans="2:8" x14ac:dyDescent="0.2">
      <c r="B5" s="32" t="s">
        <v>76</v>
      </c>
      <c r="C5" s="32" t="s">
        <v>77</v>
      </c>
      <c r="D5" s="32" t="s">
        <v>78</v>
      </c>
      <c r="F5" s="32" t="s">
        <v>76</v>
      </c>
      <c r="G5" s="32" t="s">
        <v>77</v>
      </c>
      <c r="H5" s="32" t="s">
        <v>78</v>
      </c>
    </row>
    <row r="6" spans="2:8" x14ac:dyDescent="0.2">
      <c r="B6" s="30" t="s">
        <v>79</v>
      </c>
      <c r="C6" s="33" t="s">
        <v>80</v>
      </c>
      <c r="D6" s="34">
        <v>2</v>
      </c>
      <c r="F6" s="31" t="s">
        <v>81</v>
      </c>
      <c r="G6" s="33" t="s">
        <v>80</v>
      </c>
      <c r="H6" s="34">
        <v>2</v>
      </c>
    </row>
    <row r="7" spans="2:8" x14ac:dyDescent="0.2">
      <c r="B7" s="30" t="s">
        <v>82</v>
      </c>
      <c r="C7" s="33" t="s">
        <v>80</v>
      </c>
      <c r="D7" s="34">
        <v>2</v>
      </c>
      <c r="F7" s="31" t="s">
        <v>83</v>
      </c>
      <c r="G7" s="33" t="s">
        <v>80</v>
      </c>
      <c r="H7" s="34">
        <v>2</v>
      </c>
    </row>
    <row r="8" spans="2:8" x14ac:dyDescent="0.2">
      <c r="B8" s="30" t="s">
        <v>84</v>
      </c>
      <c r="C8" s="35" t="s">
        <v>85</v>
      </c>
      <c r="D8" s="34">
        <v>1</v>
      </c>
      <c r="F8" s="31" t="s">
        <v>86</v>
      </c>
      <c r="G8" s="36" t="s">
        <v>87</v>
      </c>
      <c r="H8" s="34">
        <v>6</v>
      </c>
    </row>
    <row r="9" spans="2:8" x14ac:dyDescent="0.2">
      <c r="B9" s="30" t="s">
        <v>88</v>
      </c>
      <c r="C9" s="36" t="s">
        <v>87</v>
      </c>
      <c r="D9" s="34">
        <v>3</v>
      </c>
      <c r="F9" s="31" t="s">
        <v>89</v>
      </c>
      <c r="G9" s="36" t="s">
        <v>87</v>
      </c>
      <c r="H9" s="34">
        <v>3</v>
      </c>
    </row>
    <row r="10" spans="2:8" x14ac:dyDescent="0.2">
      <c r="B10" s="30" t="s">
        <v>90</v>
      </c>
      <c r="C10" s="36" t="s">
        <v>87</v>
      </c>
      <c r="D10" s="34">
        <v>2</v>
      </c>
      <c r="F10" s="31" t="s">
        <v>91</v>
      </c>
      <c r="G10" s="36" t="s">
        <v>87</v>
      </c>
      <c r="H10" s="34">
        <v>2</v>
      </c>
    </row>
    <row r="11" spans="2:8" x14ac:dyDescent="0.2">
      <c r="B11" s="30" t="s">
        <v>92</v>
      </c>
      <c r="C11" s="37" t="s">
        <v>93</v>
      </c>
      <c r="D11" s="34">
        <v>6</v>
      </c>
    </row>
    <row r="12" spans="2:8" x14ac:dyDescent="0.2">
      <c r="B12" s="30" t="s">
        <v>94</v>
      </c>
      <c r="C12" s="37" t="s">
        <v>93</v>
      </c>
      <c r="D12" s="34">
        <v>2</v>
      </c>
    </row>
  </sheetData>
  <sheetProtection sheet="1" objects="1" scenarios="1"/>
  <mergeCells count="3">
    <mergeCell ref="B2:H2"/>
    <mergeCell ref="B4:D4"/>
    <mergeCell ref="F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3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27.98046875" style="15" customWidth="1"/>
    <col min="3" max="3" width="22.05859375" style="15" customWidth="1"/>
    <col min="4" max="10" width="7.93359375" style="15" customWidth="1"/>
  </cols>
  <sheetData>
    <row r="2" spans="2:10" ht="19.5" customHeight="1" x14ac:dyDescent="0.2">
      <c r="B2" s="3" t="s">
        <v>95</v>
      </c>
      <c r="C2" s="3"/>
      <c r="D2" s="3"/>
      <c r="E2" s="3"/>
      <c r="F2" s="3"/>
      <c r="G2" s="3"/>
      <c r="H2" s="3"/>
      <c r="I2" s="3"/>
      <c r="J2" s="3"/>
    </row>
    <row r="3" spans="2:10" ht="21.75" customHeight="1" x14ac:dyDescent="0.2">
      <c r="B3" s="2" t="s">
        <v>96</v>
      </c>
      <c r="C3" s="2"/>
      <c r="D3" s="2"/>
      <c r="E3" s="2"/>
      <c r="F3" s="2"/>
      <c r="G3" s="2"/>
      <c r="H3" s="2"/>
      <c r="I3" s="2"/>
      <c r="J3" s="2"/>
    </row>
    <row r="5" spans="2:10" ht="25.5" customHeight="1" x14ac:dyDescent="0.2">
      <c r="B5" s="38" t="s">
        <v>97</v>
      </c>
      <c r="C5" s="38" t="s">
        <v>98</v>
      </c>
      <c r="D5" s="38" t="s">
        <v>99</v>
      </c>
      <c r="E5" s="38" t="s">
        <v>100</v>
      </c>
      <c r="F5" s="38" t="s">
        <v>101</v>
      </c>
      <c r="G5" s="38" t="s">
        <v>102</v>
      </c>
      <c r="H5" s="38" t="s">
        <v>103</v>
      </c>
      <c r="I5" s="38" t="s">
        <v>104</v>
      </c>
      <c r="J5" s="38" t="s">
        <v>105</v>
      </c>
    </row>
    <row r="6" spans="2:10" ht="19.5" customHeight="1" x14ac:dyDescent="0.2">
      <c r="B6" s="1" t="s">
        <v>106</v>
      </c>
      <c r="C6" s="1"/>
      <c r="D6" s="1"/>
      <c r="E6" s="1"/>
      <c r="F6" s="1"/>
      <c r="G6" s="1"/>
      <c r="H6" s="1"/>
      <c r="I6" s="1"/>
      <c r="J6" s="1"/>
    </row>
    <row r="7" spans="2:10" x14ac:dyDescent="0.2">
      <c r="B7" s="39" t="s">
        <v>79</v>
      </c>
      <c r="C7" s="40" t="s">
        <v>107</v>
      </c>
      <c r="D7" s="41">
        <v>2</v>
      </c>
      <c r="E7" s="41">
        <v>1.5</v>
      </c>
      <c r="F7" s="41">
        <v>0.85</v>
      </c>
      <c r="G7" s="41">
        <v>0.9</v>
      </c>
      <c r="H7" s="41">
        <v>0.8</v>
      </c>
      <c r="I7" s="41">
        <v>0.85</v>
      </c>
      <c r="J7" s="42">
        <v>3</v>
      </c>
    </row>
    <row r="8" spans="2:10" x14ac:dyDescent="0.2">
      <c r="B8" s="39" t="s">
        <v>79</v>
      </c>
      <c r="C8" s="40" t="s">
        <v>108</v>
      </c>
      <c r="D8" s="41">
        <v>2</v>
      </c>
      <c r="E8" s="41">
        <v>1.5</v>
      </c>
      <c r="F8" s="41">
        <v>0.85</v>
      </c>
      <c r="G8" s="41">
        <v>0.9</v>
      </c>
      <c r="H8" s="41">
        <v>0.8</v>
      </c>
      <c r="I8" s="41">
        <v>0.85</v>
      </c>
      <c r="J8" s="42">
        <v>3</v>
      </c>
    </row>
    <row r="9" spans="2:10" x14ac:dyDescent="0.2">
      <c r="B9" s="39" t="s">
        <v>79</v>
      </c>
      <c r="C9" s="40" t="s">
        <v>109</v>
      </c>
      <c r="D9" s="41">
        <v>1.2</v>
      </c>
      <c r="E9" s="41">
        <v>0.05</v>
      </c>
      <c r="F9" s="41">
        <v>0.75</v>
      </c>
      <c r="G9" s="41">
        <v>0.85</v>
      </c>
      <c r="H9" s="41">
        <v>0.7</v>
      </c>
      <c r="I9" s="41">
        <v>0.8</v>
      </c>
      <c r="J9" s="42">
        <v>1</v>
      </c>
    </row>
    <row r="10" spans="2:10" x14ac:dyDescent="0.2">
      <c r="B10" s="39" t="s">
        <v>79</v>
      </c>
      <c r="C10" s="40" t="s">
        <v>110</v>
      </c>
      <c r="D10" s="41">
        <v>1.2</v>
      </c>
      <c r="E10" s="41">
        <v>0.05</v>
      </c>
      <c r="F10" s="41">
        <v>0.75</v>
      </c>
      <c r="G10" s="41">
        <v>0.85</v>
      </c>
      <c r="H10" s="41">
        <v>0.7</v>
      </c>
      <c r="I10" s="41">
        <v>0.8</v>
      </c>
      <c r="J10" s="42">
        <v>1</v>
      </c>
    </row>
    <row r="11" spans="2:10" x14ac:dyDescent="0.2">
      <c r="B11" s="39" t="s">
        <v>79</v>
      </c>
      <c r="C11" s="40" t="s">
        <v>111</v>
      </c>
      <c r="D11" s="41">
        <v>1.2</v>
      </c>
      <c r="E11" s="41">
        <v>0.05</v>
      </c>
      <c r="F11" s="41">
        <v>0.75</v>
      </c>
      <c r="G11" s="41">
        <v>0.85</v>
      </c>
      <c r="H11" s="41">
        <v>0.7</v>
      </c>
      <c r="I11" s="41">
        <v>0.8</v>
      </c>
      <c r="J11" s="42">
        <v>1</v>
      </c>
    </row>
    <row r="13" spans="2:10" ht="19.5" customHeight="1" x14ac:dyDescent="0.2">
      <c r="B13" s="1" t="s">
        <v>112</v>
      </c>
      <c r="C13" s="1"/>
      <c r="D13" s="1"/>
      <c r="E13" s="1"/>
      <c r="F13" s="1"/>
      <c r="G13" s="1"/>
      <c r="H13" s="1"/>
      <c r="I13" s="1"/>
      <c r="J13" s="1"/>
    </row>
    <row r="14" spans="2:10" x14ac:dyDescent="0.2">
      <c r="B14" s="39" t="s">
        <v>82</v>
      </c>
      <c r="C14" s="40" t="s">
        <v>107</v>
      </c>
      <c r="D14" s="41">
        <v>2</v>
      </c>
      <c r="E14" s="41">
        <v>1.5</v>
      </c>
      <c r="F14" s="41">
        <v>0.85</v>
      </c>
      <c r="G14" s="41">
        <v>0.9</v>
      </c>
      <c r="H14" s="41">
        <v>0.8</v>
      </c>
      <c r="I14" s="41">
        <v>0.85</v>
      </c>
      <c r="J14" s="42">
        <v>3</v>
      </c>
    </row>
    <row r="15" spans="2:10" x14ac:dyDescent="0.2">
      <c r="B15" s="39" t="s">
        <v>82</v>
      </c>
      <c r="C15" s="40" t="s">
        <v>108</v>
      </c>
      <c r="D15" s="41">
        <v>2</v>
      </c>
      <c r="E15" s="41">
        <v>1.5</v>
      </c>
      <c r="F15" s="41">
        <v>0.85</v>
      </c>
      <c r="G15" s="41">
        <v>0.9</v>
      </c>
      <c r="H15" s="41">
        <v>0.8</v>
      </c>
      <c r="I15" s="41">
        <v>0.85</v>
      </c>
      <c r="J15" s="42">
        <v>3</v>
      </c>
    </row>
    <row r="16" spans="2:10" x14ac:dyDescent="0.2">
      <c r="B16" s="39" t="s">
        <v>82</v>
      </c>
      <c r="C16" s="40" t="s">
        <v>109</v>
      </c>
      <c r="D16" s="41">
        <v>1.2</v>
      </c>
      <c r="E16" s="41">
        <v>0.05</v>
      </c>
      <c r="F16" s="41">
        <v>0.75</v>
      </c>
      <c r="G16" s="41">
        <v>0.85</v>
      </c>
      <c r="H16" s="41">
        <v>0.7</v>
      </c>
      <c r="I16" s="41">
        <v>0.8</v>
      </c>
      <c r="J16" s="42">
        <v>1</v>
      </c>
    </row>
    <row r="17" spans="2:10" x14ac:dyDescent="0.2">
      <c r="B17" s="39" t="s">
        <v>82</v>
      </c>
      <c r="C17" s="40" t="s">
        <v>110</v>
      </c>
      <c r="D17" s="41">
        <v>1.2</v>
      </c>
      <c r="E17" s="41">
        <v>0.05</v>
      </c>
      <c r="F17" s="41">
        <v>0.75</v>
      </c>
      <c r="G17" s="41">
        <v>0.85</v>
      </c>
      <c r="H17" s="41">
        <v>0.7</v>
      </c>
      <c r="I17" s="41">
        <v>0.8</v>
      </c>
      <c r="J17" s="42">
        <v>1</v>
      </c>
    </row>
    <row r="18" spans="2:10" x14ac:dyDescent="0.2">
      <c r="B18" s="39" t="s">
        <v>82</v>
      </c>
      <c r="C18" s="40" t="s">
        <v>111</v>
      </c>
      <c r="D18" s="41">
        <v>1.2</v>
      </c>
      <c r="E18" s="41">
        <v>0.05</v>
      </c>
      <c r="F18" s="41">
        <v>0.75</v>
      </c>
      <c r="G18" s="41">
        <v>0.85</v>
      </c>
      <c r="H18" s="41">
        <v>0.7</v>
      </c>
      <c r="I18" s="41">
        <v>0.8</v>
      </c>
      <c r="J18" s="42">
        <v>1</v>
      </c>
    </row>
    <row r="20" spans="2:10" ht="19.5" customHeight="1" x14ac:dyDescent="0.2">
      <c r="B20" s="94" t="s">
        <v>113</v>
      </c>
      <c r="C20" s="94"/>
      <c r="D20" s="94"/>
      <c r="E20" s="94"/>
      <c r="F20" s="94"/>
      <c r="G20" s="94"/>
      <c r="H20" s="94"/>
      <c r="I20" s="94"/>
      <c r="J20" s="94"/>
    </row>
    <row r="21" spans="2:10" x14ac:dyDescent="0.2">
      <c r="B21" s="39" t="s">
        <v>84</v>
      </c>
      <c r="C21" s="40" t="s">
        <v>107</v>
      </c>
      <c r="D21" s="41">
        <v>2.5</v>
      </c>
      <c r="E21" s="41">
        <v>1</v>
      </c>
      <c r="F21" s="41">
        <v>0.8</v>
      </c>
      <c r="G21" s="41">
        <v>0.9</v>
      </c>
      <c r="H21" s="41">
        <v>0.65</v>
      </c>
      <c r="I21" s="41">
        <v>0.8</v>
      </c>
      <c r="J21" s="42">
        <v>3</v>
      </c>
    </row>
    <row r="22" spans="2:10" x14ac:dyDescent="0.2">
      <c r="B22" s="39" t="s">
        <v>84</v>
      </c>
      <c r="C22" s="40" t="s">
        <v>108</v>
      </c>
      <c r="D22" s="41">
        <v>2.5</v>
      </c>
      <c r="E22" s="41">
        <v>1</v>
      </c>
      <c r="F22" s="41">
        <v>0.8</v>
      </c>
      <c r="G22" s="41">
        <v>0.9</v>
      </c>
      <c r="H22" s="41">
        <v>0.65</v>
      </c>
      <c r="I22" s="41">
        <v>0.8</v>
      </c>
      <c r="J22" s="42">
        <v>3</v>
      </c>
    </row>
    <row r="23" spans="2:10" x14ac:dyDescent="0.2">
      <c r="B23" s="39" t="s">
        <v>84</v>
      </c>
      <c r="C23" s="40" t="s">
        <v>109</v>
      </c>
      <c r="D23" s="41">
        <v>0.3</v>
      </c>
      <c r="E23" s="41">
        <v>0.02</v>
      </c>
      <c r="F23" s="41">
        <v>0.4</v>
      </c>
      <c r="G23" s="41">
        <v>0.7</v>
      </c>
      <c r="H23" s="41">
        <v>0.5</v>
      </c>
      <c r="I23" s="41">
        <v>0.7</v>
      </c>
      <c r="J23" s="42">
        <v>1</v>
      </c>
    </row>
    <row r="24" spans="2:10" x14ac:dyDescent="0.2">
      <c r="B24" s="39" t="s">
        <v>84</v>
      </c>
      <c r="C24" s="40" t="s">
        <v>110</v>
      </c>
      <c r="D24" s="41">
        <v>0.3</v>
      </c>
      <c r="E24" s="41">
        <v>0.02</v>
      </c>
      <c r="F24" s="41">
        <v>0.4</v>
      </c>
      <c r="G24" s="41">
        <v>0.7</v>
      </c>
      <c r="H24" s="41">
        <v>0.5</v>
      </c>
      <c r="I24" s="41">
        <v>0.7</v>
      </c>
      <c r="J24" s="42">
        <v>1</v>
      </c>
    </row>
    <row r="25" spans="2:10" x14ac:dyDescent="0.2">
      <c r="B25" s="39" t="s">
        <v>84</v>
      </c>
      <c r="C25" s="40" t="s">
        <v>111</v>
      </c>
      <c r="D25" s="41">
        <v>0.3</v>
      </c>
      <c r="E25" s="41">
        <v>0.02</v>
      </c>
      <c r="F25" s="41">
        <v>0.4</v>
      </c>
      <c r="G25" s="41">
        <v>0.7</v>
      </c>
      <c r="H25" s="41">
        <v>0.5</v>
      </c>
      <c r="I25" s="41">
        <v>0.7</v>
      </c>
      <c r="J25" s="42">
        <v>1</v>
      </c>
    </row>
    <row r="27" spans="2:10" ht="19.5" customHeight="1" x14ac:dyDescent="0.2">
      <c r="B27" s="95" t="s">
        <v>114</v>
      </c>
      <c r="C27" s="95"/>
      <c r="D27" s="95"/>
      <c r="E27" s="95"/>
      <c r="F27" s="95"/>
      <c r="G27" s="95"/>
      <c r="H27" s="95"/>
      <c r="I27" s="95"/>
      <c r="J27" s="95"/>
    </row>
    <row r="28" spans="2:10" x14ac:dyDescent="0.2">
      <c r="B28" s="39" t="s">
        <v>88</v>
      </c>
      <c r="C28" s="40" t="s">
        <v>107</v>
      </c>
      <c r="D28" s="41">
        <v>2.2000000000000002</v>
      </c>
      <c r="E28" s="41">
        <v>1.5</v>
      </c>
      <c r="F28" s="41">
        <v>0.85</v>
      </c>
      <c r="G28" s="41">
        <v>0.85</v>
      </c>
      <c r="H28" s="41">
        <v>0.7</v>
      </c>
      <c r="I28" s="41">
        <v>0.8</v>
      </c>
      <c r="J28" s="42">
        <v>3</v>
      </c>
    </row>
    <row r="29" spans="2:10" x14ac:dyDescent="0.2">
      <c r="B29" s="39" t="s">
        <v>88</v>
      </c>
      <c r="C29" s="40" t="s">
        <v>108</v>
      </c>
      <c r="D29" s="41">
        <v>2.2000000000000002</v>
      </c>
      <c r="E29" s="41">
        <v>1.5</v>
      </c>
      <c r="F29" s="41">
        <v>0.85</v>
      </c>
      <c r="G29" s="41">
        <v>0.85</v>
      </c>
      <c r="H29" s="41">
        <v>0.7</v>
      </c>
      <c r="I29" s="41">
        <v>0.8</v>
      </c>
      <c r="J29" s="42">
        <v>3</v>
      </c>
    </row>
    <row r="30" spans="2:10" x14ac:dyDescent="0.2">
      <c r="B30" s="39" t="s">
        <v>88</v>
      </c>
      <c r="C30" s="40" t="s">
        <v>109</v>
      </c>
      <c r="D30" s="41">
        <v>1.5</v>
      </c>
      <c r="E30" s="41">
        <v>1.2</v>
      </c>
      <c r="F30" s="41">
        <v>0.8</v>
      </c>
      <c r="G30" s="41">
        <v>0.85</v>
      </c>
      <c r="H30" s="41">
        <v>0.75</v>
      </c>
      <c r="I30" s="41">
        <v>0.8</v>
      </c>
      <c r="J30" s="42">
        <v>1</v>
      </c>
    </row>
    <row r="31" spans="2:10" x14ac:dyDescent="0.2">
      <c r="B31" s="39" t="s">
        <v>88</v>
      </c>
      <c r="C31" s="40" t="s">
        <v>110</v>
      </c>
      <c r="D31" s="41">
        <v>1.5</v>
      </c>
      <c r="E31" s="41">
        <v>1.2</v>
      </c>
      <c r="F31" s="41">
        <v>0.8</v>
      </c>
      <c r="G31" s="41">
        <v>0.85</v>
      </c>
      <c r="H31" s="41">
        <v>0.75</v>
      </c>
      <c r="I31" s="41">
        <v>0.8</v>
      </c>
      <c r="J31" s="42">
        <v>1</v>
      </c>
    </row>
    <row r="32" spans="2:10" x14ac:dyDescent="0.2">
      <c r="B32" s="39" t="s">
        <v>88</v>
      </c>
      <c r="C32" s="40" t="s">
        <v>111</v>
      </c>
      <c r="D32" s="41">
        <v>1.5</v>
      </c>
      <c r="E32" s="41">
        <v>1.2</v>
      </c>
      <c r="F32" s="41">
        <v>0.8</v>
      </c>
      <c r="G32" s="41">
        <v>0.85</v>
      </c>
      <c r="H32" s="41">
        <v>0.75</v>
      </c>
      <c r="I32" s="41">
        <v>0.8</v>
      </c>
      <c r="J32" s="42">
        <v>1</v>
      </c>
    </row>
    <row r="34" spans="2:10" ht="19.5" customHeight="1" x14ac:dyDescent="0.2">
      <c r="B34" s="95" t="s">
        <v>115</v>
      </c>
      <c r="C34" s="95"/>
      <c r="D34" s="95"/>
      <c r="E34" s="95"/>
      <c r="F34" s="95"/>
      <c r="G34" s="95"/>
      <c r="H34" s="95"/>
      <c r="I34" s="95"/>
      <c r="J34" s="95"/>
    </row>
    <row r="35" spans="2:10" x14ac:dyDescent="0.2">
      <c r="B35" s="39" t="s">
        <v>90</v>
      </c>
      <c r="C35" s="40" t="s">
        <v>107</v>
      </c>
      <c r="D35" s="41">
        <v>2.2000000000000002</v>
      </c>
      <c r="E35" s="41">
        <v>1.5</v>
      </c>
      <c r="F35" s="41">
        <v>0.85</v>
      </c>
      <c r="G35" s="41">
        <v>0.85</v>
      </c>
      <c r="H35" s="41">
        <v>0.7</v>
      </c>
      <c r="I35" s="41">
        <v>0.8</v>
      </c>
      <c r="J35" s="42">
        <v>3</v>
      </c>
    </row>
    <row r="36" spans="2:10" x14ac:dyDescent="0.2">
      <c r="B36" s="39" t="s">
        <v>90</v>
      </c>
      <c r="C36" s="40" t="s">
        <v>108</v>
      </c>
      <c r="D36" s="41">
        <v>2.2000000000000002</v>
      </c>
      <c r="E36" s="41">
        <v>1.5</v>
      </c>
      <c r="F36" s="41">
        <v>0.85</v>
      </c>
      <c r="G36" s="41">
        <v>0.85</v>
      </c>
      <c r="H36" s="41">
        <v>0.7</v>
      </c>
      <c r="I36" s="41">
        <v>0.8</v>
      </c>
      <c r="J36" s="42">
        <v>3</v>
      </c>
    </row>
    <row r="37" spans="2:10" x14ac:dyDescent="0.2">
      <c r="B37" s="39" t="s">
        <v>90</v>
      </c>
      <c r="C37" s="40" t="s">
        <v>109</v>
      </c>
      <c r="D37" s="41">
        <v>1.5</v>
      </c>
      <c r="E37" s="41">
        <v>1.2</v>
      </c>
      <c r="F37" s="41">
        <v>0.8</v>
      </c>
      <c r="G37" s="41">
        <v>0.85</v>
      </c>
      <c r="H37" s="41">
        <v>0.75</v>
      </c>
      <c r="I37" s="41">
        <v>0.8</v>
      </c>
      <c r="J37" s="42">
        <v>1</v>
      </c>
    </row>
    <row r="38" spans="2:10" x14ac:dyDescent="0.2">
      <c r="B38" s="39" t="s">
        <v>90</v>
      </c>
      <c r="C38" s="40" t="s">
        <v>110</v>
      </c>
      <c r="D38" s="41">
        <v>1.5</v>
      </c>
      <c r="E38" s="41">
        <v>1.2</v>
      </c>
      <c r="F38" s="41">
        <v>0.8</v>
      </c>
      <c r="G38" s="41">
        <v>0.85</v>
      </c>
      <c r="H38" s="41">
        <v>0.75</v>
      </c>
      <c r="I38" s="41">
        <v>0.8</v>
      </c>
      <c r="J38" s="42">
        <v>1</v>
      </c>
    </row>
    <row r="39" spans="2:10" x14ac:dyDescent="0.2">
      <c r="B39" s="39" t="s">
        <v>90</v>
      </c>
      <c r="C39" s="40" t="s">
        <v>111</v>
      </c>
      <c r="D39" s="41">
        <v>1.5</v>
      </c>
      <c r="E39" s="41">
        <v>1.2</v>
      </c>
      <c r="F39" s="41">
        <v>0.8</v>
      </c>
      <c r="G39" s="41">
        <v>0.85</v>
      </c>
      <c r="H39" s="41">
        <v>0.75</v>
      </c>
      <c r="I39" s="41">
        <v>0.8</v>
      </c>
      <c r="J39" s="42">
        <v>1</v>
      </c>
    </row>
    <row r="41" spans="2:10" ht="19.5" customHeight="1" x14ac:dyDescent="0.2">
      <c r="B41" s="96" t="s">
        <v>116</v>
      </c>
      <c r="C41" s="96"/>
      <c r="D41" s="96"/>
      <c r="E41" s="96"/>
      <c r="F41" s="96"/>
      <c r="G41" s="96"/>
      <c r="H41" s="96"/>
      <c r="I41" s="96"/>
      <c r="J41" s="96"/>
    </row>
    <row r="42" spans="2:10" x14ac:dyDescent="0.2">
      <c r="B42" s="39" t="s">
        <v>92</v>
      </c>
      <c r="C42" s="40" t="s">
        <v>107</v>
      </c>
      <c r="D42" s="41">
        <v>2</v>
      </c>
      <c r="E42" s="41">
        <v>1</v>
      </c>
      <c r="F42" s="41">
        <v>0.75</v>
      </c>
      <c r="G42" s="41">
        <v>0.8</v>
      </c>
      <c r="H42" s="41">
        <v>0.7</v>
      </c>
      <c r="I42" s="41">
        <v>0.8</v>
      </c>
      <c r="J42" s="42">
        <v>3</v>
      </c>
    </row>
    <row r="43" spans="2:10" x14ac:dyDescent="0.2">
      <c r="B43" s="39" t="s">
        <v>92</v>
      </c>
      <c r="C43" s="40" t="s">
        <v>108</v>
      </c>
      <c r="D43" s="41">
        <v>2</v>
      </c>
      <c r="E43" s="41">
        <v>1</v>
      </c>
      <c r="F43" s="41">
        <v>0.75</v>
      </c>
      <c r="G43" s="41">
        <v>0.8</v>
      </c>
      <c r="H43" s="41">
        <v>0.7</v>
      </c>
      <c r="I43" s="41">
        <v>0.8</v>
      </c>
      <c r="J43" s="42">
        <v>3</v>
      </c>
    </row>
    <row r="44" spans="2:10" x14ac:dyDescent="0.2">
      <c r="B44" s="39" t="s">
        <v>92</v>
      </c>
      <c r="C44" s="40" t="s">
        <v>109</v>
      </c>
      <c r="D44" s="41">
        <v>1</v>
      </c>
      <c r="E44" s="41">
        <v>0.1</v>
      </c>
      <c r="F44" s="41">
        <v>0.7</v>
      </c>
      <c r="G44" s="41">
        <v>0.8</v>
      </c>
      <c r="H44" s="41">
        <v>0.65</v>
      </c>
      <c r="I44" s="41">
        <v>0.75</v>
      </c>
      <c r="J44" s="42">
        <v>1</v>
      </c>
    </row>
    <row r="45" spans="2:10" x14ac:dyDescent="0.2">
      <c r="B45" s="39" t="s">
        <v>92</v>
      </c>
      <c r="C45" s="40" t="s">
        <v>110</v>
      </c>
      <c r="D45" s="41">
        <v>1</v>
      </c>
      <c r="E45" s="41">
        <v>0.1</v>
      </c>
      <c r="F45" s="41">
        <v>0.7</v>
      </c>
      <c r="G45" s="41">
        <v>0.8</v>
      </c>
      <c r="H45" s="41">
        <v>0.65</v>
      </c>
      <c r="I45" s="41">
        <v>0.75</v>
      </c>
      <c r="J45" s="42">
        <v>1</v>
      </c>
    </row>
    <row r="46" spans="2:10" x14ac:dyDescent="0.2">
      <c r="B46" s="39" t="s">
        <v>92</v>
      </c>
      <c r="C46" s="40" t="s">
        <v>111</v>
      </c>
      <c r="D46" s="41">
        <v>1</v>
      </c>
      <c r="E46" s="41">
        <v>0.1</v>
      </c>
      <c r="F46" s="41">
        <v>0.7</v>
      </c>
      <c r="G46" s="41">
        <v>0.8</v>
      </c>
      <c r="H46" s="41">
        <v>0.65</v>
      </c>
      <c r="I46" s="41">
        <v>0.75</v>
      </c>
      <c r="J46" s="42">
        <v>1</v>
      </c>
    </row>
    <row r="48" spans="2:10" ht="19.5" customHeight="1" x14ac:dyDescent="0.2">
      <c r="B48" s="96" t="s">
        <v>117</v>
      </c>
      <c r="C48" s="96"/>
      <c r="D48" s="96"/>
      <c r="E48" s="96"/>
      <c r="F48" s="96"/>
      <c r="G48" s="96"/>
      <c r="H48" s="96"/>
      <c r="I48" s="96"/>
      <c r="J48" s="96"/>
    </row>
    <row r="49" spans="2:10" x14ac:dyDescent="0.2">
      <c r="B49" s="39" t="s">
        <v>94</v>
      </c>
      <c r="C49" s="40" t="s">
        <v>107</v>
      </c>
      <c r="D49" s="41">
        <v>2</v>
      </c>
      <c r="E49" s="41">
        <v>1</v>
      </c>
      <c r="F49" s="41">
        <v>0.75</v>
      </c>
      <c r="G49" s="41">
        <v>0.8</v>
      </c>
      <c r="H49" s="41">
        <v>0.7</v>
      </c>
      <c r="I49" s="41">
        <v>0.8</v>
      </c>
      <c r="J49" s="42">
        <v>3</v>
      </c>
    </row>
    <row r="50" spans="2:10" x14ac:dyDescent="0.2">
      <c r="B50" s="39" t="s">
        <v>94</v>
      </c>
      <c r="C50" s="40" t="s">
        <v>108</v>
      </c>
      <c r="D50" s="41">
        <v>2</v>
      </c>
      <c r="E50" s="41">
        <v>1</v>
      </c>
      <c r="F50" s="41">
        <v>0.75</v>
      </c>
      <c r="G50" s="41">
        <v>0.8</v>
      </c>
      <c r="H50" s="41">
        <v>0.7</v>
      </c>
      <c r="I50" s="41">
        <v>0.8</v>
      </c>
      <c r="J50" s="42">
        <v>3</v>
      </c>
    </row>
    <row r="51" spans="2:10" x14ac:dyDescent="0.2">
      <c r="B51" s="39" t="s">
        <v>94</v>
      </c>
      <c r="C51" s="40" t="s">
        <v>109</v>
      </c>
      <c r="D51" s="41">
        <v>1</v>
      </c>
      <c r="E51" s="41">
        <v>0.1</v>
      </c>
      <c r="F51" s="41">
        <v>0.7</v>
      </c>
      <c r="G51" s="41">
        <v>0.8</v>
      </c>
      <c r="H51" s="41">
        <v>0.65</v>
      </c>
      <c r="I51" s="41">
        <v>0.75</v>
      </c>
      <c r="J51" s="42">
        <v>1</v>
      </c>
    </row>
    <row r="52" spans="2:10" x14ac:dyDescent="0.2">
      <c r="B52" s="39" t="s">
        <v>94</v>
      </c>
      <c r="C52" s="40" t="s">
        <v>110</v>
      </c>
      <c r="D52" s="41">
        <v>1</v>
      </c>
      <c r="E52" s="41">
        <v>0.1</v>
      </c>
      <c r="F52" s="41">
        <v>0.7</v>
      </c>
      <c r="G52" s="41">
        <v>0.8</v>
      </c>
      <c r="H52" s="41">
        <v>0.65</v>
      </c>
      <c r="I52" s="41">
        <v>0.75</v>
      </c>
      <c r="J52" s="42">
        <v>1</v>
      </c>
    </row>
    <row r="53" spans="2:10" x14ac:dyDescent="0.2">
      <c r="B53" s="39" t="s">
        <v>94</v>
      </c>
      <c r="C53" s="40" t="s">
        <v>111</v>
      </c>
      <c r="D53" s="41">
        <v>1</v>
      </c>
      <c r="E53" s="41">
        <v>0.1</v>
      </c>
      <c r="F53" s="41">
        <v>0.7</v>
      </c>
      <c r="G53" s="41">
        <v>0.8</v>
      </c>
      <c r="H53" s="41">
        <v>0.65</v>
      </c>
      <c r="I53" s="41">
        <v>0.75</v>
      </c>
      <c r="J53" s="42">
        <v>1</v>
      </c>
    </row>
  </sheetData>
  <sheetProtection sheet="1" objects="1" scenarios="1"/>
  <mergeCells count="9">
    <mergeCell ref="B27:J27"/>
    <mergeCell ref="B34:J34"/>
    <mergeCell ref="B41:J41"/>
    <mergeCell ref="B48:J48"/>
    <mergeCell ref="B2:J2"/>
    <mergeCell ref="B3:J3"/>
    <mergeCell ref="B6:J6"/>
    <mergeCell ref="B13:J13"/>
    <mergeCell ref="B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49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27.98046875" style="15" customWidth="1"/>
    <col min="3" max="3" width="22.05859375" style="15" customWidth="1"/>
    <col min="4" max="10" width="7.93359375" style="15" customWidth="1"/>
  </cols>
  <sheetData>
    <row r="2" spans="2:10" ht="19.5" customHeight="1" x14ac:dyDescent="0.2">
      <c r="B2" s="3" t="s">
        <v>118</v>
      </c>
      <c r="C2" s="3"/>
      <c r="D2" s="3"/>
      <c r="E2" s="3"/>
      <c r="F2" s="3"/>
      <c r="G2" s="3"/>
      <c r="H2" s="3"/>
      <c r="I2" s="3"/>
      <c r="J2" s="3"/>
    </row>
    <row r="3" spans="2:10" ht="21.75" customHeight="1" x14ac:dyDescent="0.2">
      <c r="B3" s="2" t="s">
        <v>96</v>
      </c>
      <c r="C3" s="2"/>
      <c r="D3" s="2"/>
      <c r="E3" s="2"/>
      <c r="F3" s="2"/>
      <c r="G3" s="2"/>
      <c r="H3" s="2"/>
      <c r="I3" s="2"/>
      <c r="J3" s="2"/>
    </row>
    <row r="5" spans="2:10" ht="25.5" customHeight="1" x14ac:dyDescent="0.2">
      <c r="B5" s="38" t="s">
        <v>97</v>
      </c>
      <c r="C5" s="38" t="s">
        <v>98</v>
      </c>
      <c r="D5" s="38" t="s">
        <v>99</v>
      </c>
      <c r="E5" s="38" t="s">
        <v>100</v>
      </c>
      <c r="F5" s="38" t="s">
        <v>101</v>
      </c>
      <c r="G5" s="38" t="s">
        <v>102</v>
      </c>
      <c r="H5" s="38" t="s">
        <v>103</v>
      </c>
      <c r="I5" s="38" t="s">
        <v>104</v>
      </c>
      <c r="J5" s="38" t="s">
        <v>105</v>
      </c>
    </row>
    <row r="6" spans="2:10" ht="19.5" customHeight="1" x14ac:dyDescent="0.2">
      <c r="B6" s="1" t="s">
        <v>119</v>
      </c>
      <c r="C6" s="1"/>
      <c r="D6" s="1"/>
      <c r="E6" s="1"/>
      <c r="F6" s="1"/>
      <c r="G6" s="1"/>
      <c r="H6" s="1"/>
      <c r="I6" s="1"/>
      <c r="J6" s="1"/>
    </row>
    <row r="7" spans="2:10" x14ac:dyDescent="0.2">
      <c r="B7" s="43" t="s">
        <v>81</v>
      </c>
      <c r="C7" s="40" t="s">
        <v>120</v>
      </c>
      <c r="D7" s="41">
        <v>2</v>
      </c>
      <c r="E7" s="41">
        <v>1.5</v>
      </c>
      <c r="F7" s="41">
        <v>0.85</v>
      </c>
      <c r="G7" s="41">
        <v>0.9</v>
      </c>
      <c r="H7" s="41">
        <v>0.8</v>
      </c>
      <c r="I7" s="41">
        <v>0.85</v>
      </c>
      <c r="J7" s="42">
        <v>3</v>
      </c>
    </row>
    <row r="8" spans="2:10" x14ac:dyDescent="0.2">
      <c r="B8" s="43" t="s">
        <v>81</v>
      </c>
      <c r="C8" s="40" t="s">
        <v>121</v>
      </c>
      <c r="D8" s="41">
        <v>2</v>
      </c>
      <c r="E8" s="41">
        <v>1.5</v>
      </c>
      <c r="F8" s="41">
        <v>0.85</v>
      </c>
      <c r="G8" s="41">
        <v>0.9</v>
      </c>
      <c r="H8" s="41">
        <v>0.8</v>
      </c>
      <c r="I8" s="41">
        <v>0.85</v>
      </c>
      <c r="J8" s="42">
        <v>3</v>
      </c>
    </row>
    <row r="9" spans="2:10" x14ac:dyDescent="0.2">
      <c r="B9" s="43" t="s">
        <v>81</v>
      </c>
      <c r="C9" s="40" t="s">
        <v>122</v>
      </c>
      <c r="D9" s="41">
        <v>0.6</v>
      </c>
      <c r="E9" s="41">
        <v>0.1</v>
      </c>
      <c r="F9" s="41">
        <v>0.55000000000000004</v>
      </c>
      <c r="G9" s="41">
        <v>0.85</v>
      </c>
      <c r="H9" s="41">
        <v>0.7</v>
      </c>
      <c r="I9" s="41">
        <v>0.8</v>
      </c>
      <c r="J9" s="42">
        <v>5</v>
      </c>
    </row>
    <row r="10" spans="2:10" x14ac:dyDescent="0.2">
      <c r="B10" s="43" t="s">
        <v>81</v>
      </c>
      <c r="C10" s="40" t="s">
        <v>123</v>
      </c>
      <c r="D10" s="41">
        <v>1.2</v>
      </c>
      <c r="E10" s="41">
        <v>0.05</v>
      </c>
      <c r="F10" s="41">
        <v>0.75</v>
      </c>
      <c r="G10" s="41">
        <v>0.85</v>
      </c>
      <c r="H10" s="41">
        <v>0.7</v>
      </c>
      <c r="I10" s="41">
        <v>0.8</v>
      </c>
      <c r="J10" s="42">
        <v>1</v>
      </c>
    </row>
    <row r="11" spans="2:10" x14ac:dyDescent="0.2">
      <c r="B11" s="43" t="s">
        <v>81</v>
      </c>
      <c r="C11" s="40" t="s">
        <v>124</v>
      </c>
      <c r="D11" s="41">
        <v>1.2</v>
      </c>
      <c r="E11" s="41">
        <v>0.05</v>
      </c>
      <c r="F11" s="41">
        <v>0.75</v>
      </c>
      <c r="G11" s="41">
        <v>0.85</v>
      </c>
      <c r="H11" s="41">
        <v>0.7</v>
      </c>
      <c r="I11" s="41">
        <v>0.8</v>
      </c>
      <c r="J11" s="42">
        <v>1</v>
      </c>
    </row>
    <row r="12" spans="2:10" x14ac:dyDescent="0.2">
      <c r="B12" s="43" t="s">
        <v>81</v>
      </c>
      <c r="C12" s="40" t="s">
        <v>125</v>
      </c>
      <c r="D12" s="41">
        <v>1.8</v>
      </c>
      <c r="E12" s="41">
        <v>0.2</v>
      </c>
      <c r="F12" s="41">
        <v>0.8</v>
      </c>
      <c r="G12" s="41">
        <v>0.85</v>
      </c>
      <c r="H12" s="41">
        <v>0.75</v>
      </c>
      <c r="I12" s="41">
        <v>0.8</v>
      </c>
      <c r="J12" s="42">
        <v>4</v>
      </c>
    </row>
    <row r="13" spans="2:10" x14ac:dyDescent="0.2">
      <c r="B13" s="43" t="s">
        <v>81</v>
      </c>
      <c r="C13" s="40" t="s">
        <v>126</v>
      </c>
      <c r="D13" s="41">
        <v>1.8</v>
      </c>
      <c r="E13" s="41">
        <v>0.2</v>
      </c>
      <c r="F13" s="41">
        <v>0.8</v>
      </c>
      <c r="G13" s="41">
        <v>0.85</v>
      </c>
      <c r="H13" s="41">
        <v>0.75</v>
      </c>
      <c r="I13" s="41">
        <v>0.8</v>
      </c>
      <c r="J13" s="42">
        <v>4</v>
      </c>
    </row>
    <row r="15" spans="2:10" ht="19.5" customHeight="1" x14ac:dyDescent="0.2">
      <c r="B15" s="1" t="s">
        <v>127</v>
      </c>
      <c r="C15" s="1"/>
      <c r="D15" s="1"/>
      <c r="E15" s="1"/>
      <c r="F15" s="1"/>
      <c r="G15" s="1"/>
      <c r="H15" s="1"/>
      <c r="I15" s="1"/>
      <c r="J15" s="1"/>
    </row>
    <row r="16" spans="2:10" x14ac:dyDescent="0.2">
      <c r="B16" s="43" t="s">
        <v>83</v>
      </c>
      <c r="C16" s="40" t="s">
        <v>120</v>
      </c>
      <c r="D16" s="41">
        <v>2</v>
      </c>
      <c r="E16" s="41">
        <v>1.5</v>
      </c>
      <c r="F16" s="41">
        <v>0.85</v>
      </c>
      <c r="G16" s="41">
        <v>0.9</v>
      </c>
      <c r="H16" s="41">
        <v>0.8</v>
      </c>
      <c r="I16" s="41">
        <v>0.85</v>
      </c>
      <c r="J16" s="42">
        <v>3</v>
      </c>
    </row>
    <row r="17" spans="2:10" x14ac:dyDescent="0.2">
      <c r="B17" s="43" t="s">
        <v>83</v>
      </c>
      <c r="C17" s="40" t="s">
        <v>121</v>
      </c>
      <c r="D17" s="41">
        <v>2</v>
      </c>
      <c r="E17" s="41">
        <v>1.5</v>
      </c>
      <c r="F17" s="41">
        <v>0.85</v>
      </c>
      <c r="G17" s="41">
        <v>0.9</v>
      </c>
      <c r="H17" s="41">
        <v>0.8</v>
      </c>
      <c r="I17" s="41">
        <v>0.85</v>
      </c>
      <c r="J17" s="42">
        <v>3</v>
      </c>
    </row>
    <row r="18" spans="2:10" x14ac:dyDescent="0.2">
      <c r="B18" s="43" t="s">
        <v>83</v>
      </c>
      <c r="C18" s="40" t="s">
        <v>122</v>
      </c>
      <c r="D18" s="41">
        <v>0.6</v>
      </c>
      <c r="E18" s="41">
        <v>0.1</v>
      </c>
      <c r="F18" s="41">
        <v>0.55000000000000004</v>
      </c>
      <c r="G18" s="41">
        <v>0.85</v>
      </c>
      <c r="H18" s="41">
        <v>0.7</v>
      </c>
      <c r="I18" s="41">
        <v>0.8</v>
      </c>
      <c r="J18" s="42">
        <v>5</v>
      </c>
    </row>
    <row r="19" spans="2:10" x14ac:dyDescent="0.2">
      <c r="B19" s="43" t="s">
        <v>83</v>
      </c>
      <c r="C19" s="40" t="s">
        <v>123</v>
      </c>
      <c r="D19" s="41">
        <v>1.2</v>
      </c>
      <c r="E19" s="41">
        <v>0.05</v>
      </c>
      <c r="F19" s="41">
        <v>0.75</v>
      </c>
      <c r="G19" s="41">
        <v>0.85</v>
      </c>
      <c r="H19" s="41">
        <v>0.7</v>
      </c>
      <c r="I19" s="41">
        <v>0.8</v>
      </c>
      <c r="J19" s="42">
        <v>1</v>
      </c>
    </row>
    <row r="20" spans="2:10" x14ac:dyDescent="0.2">
      <c r="B20" s="43" t="s">
        <v>83</v>
      </c>
      <c r="C20" s="40" t="s">
        <v>124</v>
      </c>
      <c r="D20" s="41">
        <v>1.2</v>
      </c>
      <c r="E20" s="41">
        <v>0.05</v>
      </c>
      <c r="F20" s="41">
        <v>0.75</v>
      </c>
      <c r="G20" s="41">
        <v>0.85</v>
      </c>
      <c r="H20" s="41">
        <v>0.7</v>
      </c>
      <c r="I20" s="41">
        <v>0.8</v>
      </c>
      <c r="J20" s="42">
        <v>1</v>
      </c>
    </row>
    <row r="21" spans="2:10" x14ac:dyDescent="0.2">
      <c r="B21" s="43" t="s">
        <v>83</v>
      </c>
      <c r="C21" s="40" t="s">
        <v>125</v>
      </c>
      <c r="D21" s="41">
        <v>1.8</v>
      </c>
      <c r="E21" s="41">
        <v>0.2</v>
      </c>
      <c r="F21" s="41">
        <v>0.8</v>
      </c>
      <c r="G21" s="41">
        <v>0.85</v>
      </c>
      <c r="H21" s="41">
        <v>0.75</v>
      </c>
      <c r="I21" s="41">
        <v>0.8</v>
      </c>
      <c r="J21" s="42">
        <v>4</v>
      </c>
    </row>
    <row r="22" spans="2:10" x14ac:dyDescent="0.2">
      <c r="B22" s="43" t="s">
        <v>83</v>
      </c>
      <c r="C22" s="40" t="s">
        <v>126</v>
      </c>
      <c r="D22" s="41">
        <v>1.8</v>
      </c>
      <c r="E22" s="41">
        <v>0.2</v>
      </c>
      <c r="F22" s="41">
        <v>0.8</v>
      </c>
      <c r="G22" s="41">
        <v>0.85</v>
      </c>
      <c r="H22" s="41">
        <v>0.75</v>
      </c>
      <c r="I22" s="41">
        <v>0.8</v>
      </c>
      <c r="J22" s="42">
        <v>4</v>
      </c>
    </row>
    <row r="24" spans="2:10" ht="19.5" customHeight="1" x14ac:dyDescent="0.2">
      <c r="B24" s="95" t="s">
        <v>128</v>
      </c>
      <c r="C24" s="95"/>
      <c r="D24" s="95"/>
      <c r="E24" s="95"/>
      <c r="F24" s="95"/>
      <c r="G24" s="95"/>
      <c r="H24" s="95"/>
      <c r="I24" s="95"/>
      <c r="J24" s="95"/>
    </row>
    <row r="25" spans="2:10" x14ac:dyDescent="0.2">
      <c r="B25" s="43" t="s">
        <v>86</v>
      </c>
      <c r="C25" s="40" t="s">
        <v>120</v>
      </c>
      <c r="D25" s="41">
        <v>2.2000000000000002</v>
      </c>
      <c r="E25" s="41">
        <v>1.5</v>
      </c>
      <c r="F25" s="41">
        <v>0.85</v>
      </c>
      <c r="G25" s="41">
        <v>0.85</v>
      </c>
      <c r="H25" s="41">
        <v>0.7</v>
      </c>
      <c r="I25" s="41">
        <v>0.8</v>
      </c>
      <c r="J25" s="42">
        <v>3</v>
      </c>
    </row>
    <row r="26" spans="2:10" x14ac:dyDescent="0.2">
      <c r="B26" s="43" t="s">
        <v>86</v>
      </c>
      <c r="C26" s="40" t="s">
        <v>121</v>
      </c>
      <c r="D26" s="41">
        <v>2.2000000000000002</v>
      </c>
      <c r="E26" s="41">
        <v>1.5</v>
      </c>
      <c r="F26" s="41">
        <v>0.85</v>
      </c>
      <c r="G26" s="41">
        <v>0.85</v>
      </c>
      <c r="H26" s="41">
        <v>0.7</v>
      </c>
      <c r="I26" s="41">
        <v>0.8</v>
      </c>
      <c r="J26" s="42">
        <v>3</v>
      </c>
    </row>
    <row r="27" spans="2:10" x14ac:dyDescent="0.2">
      <c r="B27" s="43" t="s">
        <v>86</v>
      </c>
      <c r="C27" s="40" t="s">
        <v>122</v>
      </c>
      <c r="D27" s="41">
        <v>0.8</v>
      </c>
      <c r="E27" s="41">
        <v>0.05</v>
      </c>
      <c r="F27" s="41">
        <v>0.55000000000000004</v>
      </c>
      <c r="G27" s="41">
        <v>0.8</v>
      </c>
      <c r="H27" s="41">
        <v>0.75</v>
      </c>
      <c r="I27" s="41">
        <v>0.8</v>
      </c>
      <c r="J27" s="42">
        <v>5</v>
      </c>
    </row>
    <row r="28" spans="2:10" x14ac:dyDescent="0.2">
      <c r="B28" s="43" t="s">
        <v>86</v>
      </c>
      <c r="C28" s="40" t="s">
        <v>123</v>
      </c>
      <c r="D28" s="41">
        <v>1.5</v>
      </c>
      <c r="E28" s="41">
        <v>1.2</v>
      </c>
      <c r="F28" s="41">
        <v>0.8</v>
      </c>
      <c r="G28" s="41">
        <v>0.85</v>
      </c>
      <c r="H28" s="41">
        <v>0.75</v>
      </c>
      <c r="I28" s="41">
        <v>0.8</v>
      </c>
      <c r="J28" s="42">
        <v>1</v>
      </c>
    </row>
    <row r="29" spans="2:10" x14ac:dyDescent="0.2">
      <c r="B29" s="43" t="s">
        <v>86</v>
      </c>
      <c r="C29" s="40" t="s">
        <v>124</v>
      </c>
      <c r="D29" s="41">
        <v>1.5</v>
      </c>
      <c r="E29" s="41">
        <v>1.2</v>
      </c>
      <c r="F29" s="41">
        <v>0.8</v>
      </c>
      <c r="G29" s="41">
        <v>0.85</v>
      </c>
      <c r="H29" s="41">
        <v>0.75</v>
      </c>
      <c r="I29" s="41">
        <v>0.8</v>
      </c>
      <c r="J29" s="42">
        <v>1</v>
      </c>
    </row>
    <row r="30" spans="2:10" x14ac:dyDescent="0.2">
      <c r="B30" s="43" t="s">
        <v>86</v>
      </c>
      <c r="C30" s="40" t="s">
        <v>125</v>
      </c>
      <c r="D30" s="41">
        <v>2</v>
      </c>
      <c r="E30" s="41">
        <v>0.15</v>
      </c>
      <c r="F30" s="41">
        <v>0.85</v>
      </c>
      <c r="G30" s="41">
        <v>0.85</v>
      </c>
      <c r="H30" s="41">
        <v>0.75</v>
      </c>
      <c r="I30" s="41">
        <v>0.8</v>
      </c>
      <c r="J30" s="42">
        <v>4</v>
      </c>
    </row>
    <row r="31" spans="2:10" x14ac:dyDescent="0.2">
      <c r="B31" s="43" t="s">
        <v>86</v>
      </c>
      <c r="C31" s="40" t="s">
        <v>126</v>
      </c>
      <c r="D31" s="41">
        <v>2</v>
      </c>
      <c r="E31" s="41">
        <v>0.15</v>
      </c>
      <c r="F31" s="41">
        <v>0.85</v>
      </c>
      <c r="G31" s="41">
        <v>0.85</v>
      </c>
      <c r="H31" s="41">
        <v>0.75</v>
      </c>
      <c r="I31" s="41">
        <v>0.8</v>
      </c>
      <c r="J31" s="42">
        <v>4</v>
      </c>
    </row>
    <row r="33" spans="2:10" ht="19.5" customHeight="1" x14ac:dyDescent="0.2">
      <c r="B33" s="95" t="s">
        <v>129</v>
      </c>
      <c r="C33" s="95"/>
      <c r="D33" s="95"/>
      <c r="E33" s="95"/>
      <c r="F33" s="95"/>
      <c r="G33" s="95"/>
      <c r="H33" s="95"/>
      <c r="I33" s="95"/>
      <c r="J33" s="95"/>
    </row>
    <row r="34" spans="2:10" x14ac:dyDescent="0.2">
      <c r="B34" s="43" t="s">
        <v>89</v>
      </c>
      <c r="C34" s="40" t="s">
        <v>120</v>
      </c>
      <c r="D34" s="41">
        <v>2.2000000000000002</v>
      </c>
      <c r="E34" s="41">
        <v>1.5</v>
      </c>
      <c r="F34" s="41">
        <v>0.85</v>
      </c>
      <c r="G34" s="41">
        <v>0.85</v>
      </c>
      <c r="H34" s="41">
        <v>0.7</v>
      </c>
      <c r="I34" s="41">
        <v>0.8</v>
      </c>
      <c r="J34" s="42">
        <v>3</v>
      </c>
    </row>
    <row r="35" spans="2:10" x14ac:dyDescent="0.2">
      <c r="B35" s="43" t="s">
        <v>89</v>
      </c>
      <c r="C35" s="40" t="s">
        <v>121</v>
      </c>
      <c r="D35" s="41">
        <v>2.2000000000000002</v>
      </c>
      <c r="E35" s="41">
        <v>1.5</v>
      </c>
      <c r="F35" s="41">
        <v>0.85</v>
      </c>
      <c r="G35" s="41">
        <v>0.85</v>
      </c>
      <c r="H35" s="41">
        <v>0.7</v>
      </c>
      <c r="I35" s="41">
        <v>0.8</v>
      </c>
      <c r="J35" s="42">
        <v>3</v>
      </c>
    </row>
    <row r="36" spans="2:10" x14ac:dyDescent="0.2">
      <c r="B36" s="43" t="s">
        <v>89</v>
      </c>
      <c r="C36" s="40" t="s">
        <v>122</v>
      </c>
      <c r="D36" s="41">
        <v>0.8</v>
      </c>
      <c r="E36" s="41">
        <v>0.05</v>
      </c>
      <c r="F36" s="41">
        <v>0.55000000000000004</v>
      </c>
      <c r="G36" s="41">
        <v>0.8</v>
      </c>
      <c r="H36" s="41">
        <v>0.75</v>
      </c>
      <c r="I36" s="41">
        <v>0.8</v>
      </c>
      <c r="J36" s="42">
        <v>5</v>
      </c>
    </row>
    <row r="37" spans="2:10" x14ac:dyDescent="0.2">
      <c r="B37" s="43" t="s">
        <v>89</v>
      </c>
      <c r="C37" s="40" t="s">
        <v>123</v>
      </c>
      <c r="D37" s="41">
        <v>1.5</v>
      </c>
      <c r="E37" s="41">
        <v>1.2</v>
      </c>
      <c r="F37" s="41">
        <v>0.8</v>
      </c>
      <c r="G37" s="41">
        <v>0.85</v>
      </c>
      <c r="H37" s="41">
        <v>0.75</v>
      </c>
      <c r="I37" s="41">
        <v>0.8</v>
      </c>
      <c r="J37" s="42">
        <v>1</v>
      </c>
    </row>
    <row r="38" spans="2:10" x14ac:dyDescent="0.2">
      <c r="B38" s="43" t="s">
        <v>89</v>
      </c>
      <c r="C38" s="40" t="s">
        <v>124</v>
      </c>
      <c r="D38" s="41">
        <v>1.5</v>
      </c>
      <c r="E38" s="41">
        <v>1.2</v>
      </c>
      <c r="F38" s="41">
        <v>0.8</v>
      </c>
      <c r="G38" s="41">
        <v>0.85</v>
      </c>
      <c r="H38" s="41">
        <v>0.75</v>
      </c>
      <c r="I38" s="41">
        <v>0.8</v>
      </c>
      <c r="J38" s="42">
        <v>1</v>
      </c>
    </row>
    <row r="39" spans="2:10" x14ac:dyDescent="0.2">
      <c r="B39" s="43" t="s">
        <v>89</v>
      </c>
      <c r="C39" s="40" t="s">
        <v>125</v>
      </c>
      <c r="D39" s="41">
        <v>2</v>
      </c>
      <c r="E39" s="41">
        <v>0.15</v>
      </c>
      <c r="F39" s="41">
        <v>0.85</v>
      </c>
      <c r="G39" s="41">
        <v>0.85</v>
      </c>
      <c r="H39" s="41">
        <v>0.75</v>
      </c>
      <c r="I39" s="41">
        <v>0.8</v>
      </c>
      <c r="J39" s="42">
        <v>4</v>
      </c>
    </row>
    <row r="40" spans="2:10" x14ac:dyDescent="0.2">
      <c r="B40" s="43" t="s">
        <v>89</v>
      </c>
      <c r="C40" s="40" t="s">
        <v>126</v>
      </c>
      <c r="D40" s="41">
        <v>2</v>
      </c>
      <c r="E40" s="41">
        <v>0.15</v>
      </c>
      <c r="F40" s="41">
        <v>0.85</v>
      </c>
      <c r="G40" s="41">
        <v>0.85</v>
      </c>
      <c r="H40" s="41">
        <v>0.75</v>
      </c>
      <c r="I40" s="41">
        <v>0.8</v>
      </c>
      <c r="J40" s="42">
        <v>4</v>
      </c>
    </row>
    <row r="42" spans="2:10" ht="19.5" customHeight="1" x14ac:dyDescent="0.2">
      <c r="B42" s="95" t="s">
        <v>130</v>
      </c>
      <c r="C42" s="95"/>
      <c r="D42" s="95"/>
      <c r="E42" s="95"/>
      <c r="F42" s="95"/>
      <c r="G42" s="95"/>
      <c r="H42" s="95"/>
      <c r="I42" s="95"/>
      <c r="J42" s="95"/>
    </row>
    <row r="43" spans="2:10" x14ac:dyDescent="0.2">
      <c r="B43" s="43" t="s">
        <v>91</v>
      </c>
      <c r="C43" s="40" t="s">
        <v>120</v>
      </c>
      <c r="D43" s="41">
        <v>2.2000000000000002</v>
      </c>
      <c r="E43" s="41">
        <v>1.5</v>
      </c>
      <c r="F43" s="41">
        <v>0.85</v>
      </c>
      <c r="G43" s="41">
        <v>0.85</v>
      </c>
      <c r="H43" s="41">
        <v>0.7</v>
      </c>
      <c r="I43" s="41">
        <v>0.8</v>
      </c>
      <c r="J43" s="42">
        <v>3</v>
      </c>
    </row>
    <row r="44" spans="2:10" x14ac:dyDescent="0.2">
      <c r="B44" s="43" t="s">
        <v>91</v>
      </c>
      <c r="C44" s="40" t="s">
        <v>121</v>
      </c>
      <c r="D44" s="41">
        <v>2.2000000000000002</v>
      </c>
      <c r="E44" s="41">
        <v>1.5</v>
      </c>
      <c r="F44" s="41">
        <v>0.85</v>
      </c>
      <c r="G44" s="41">
        <v>0.85</v>
      </c>
      <c r="H44" s="41">
        <v>0.7</v>
      </c>
      <c r="I44" s="41">
        <v>0.8</v>
      </c>
      <c r="J44" s="42">
        <v>3</v>
      </c>
    </row>
    <row r="45" spans="2:10" x14ac:dyDescent="0.2">
      <c r="B45" s="43" t="s">
        <v>91</v>
      </c>
      <c r="C45" s="40" t="s">
        <v>122</v>
      </c>
      <c r="D45" s="41">
        <v>0.8</v>
      </c>
      <c r="E45" s="41">
        <v>0.05</v>
      </c>
      <c r="F45" s="41">
        <v>0.55000000000000004</v>
      </c>
      <c r="G45" s="41">
        <v>0.8</v>
      </c>
      <c r="H45" s="41">
        <v>0.75</v>
      </c>
      <c r="I45" s="41">
        <v>0.8</v>
      </c>
      <c r="J45" s="42">
        <v>5</v>
      </c>
    </row>
    <row r="46" spans="2:10" x14ac:dyDescent="0.2">
      <c r="B46" s="43" t="s">
        <v>91</v>
      </c>
      <c r="C46" s="40" t="s">
        <v>123</v>
      </c>
      <c r="D46" s="41">
        <v>1.5</v>
      </c>
      <c r="E46" s="41">
        <v>1.2</v>
      </c>
      <c r="F46" s="41">
        <v>0.8</v>
      </c>
      <c r="G46" s="41">
        <v>0.85</v>
      </c>
      <c r="H46" s="41">
        <v>0.75</v>
      </c>
      <c r="I46" s="41">
        <v>0.8</v>
      </c>
      <c r="J46" s="42">
        <v>1</v>
      </c>
    </row>
    <row r="47" spans="2:10" x14ac:dyDescent="0.2">
      <c r="B47" s="43" t="s">
        <v>91</v>
      </c>
      <c r="C47" s="40" t="s">
        <v>124</v>
      </c>
      <c r="D47" s="41">
        <v>1.5</v>
      </c>
      <c r="E47" s="41">
        <v>1.2</v>
      </c>
      <c r="F47" s="41">
        <v>0.8</v>
      </c>
      <c r="G47" s="41">
        <v>0.85</v>
      </c>
      <c r="H47" s="41">
        <v>0.75</v>
      </c>
      <c r="I47" s="41">
        <v>0.8</v>
      </c>
      <c r="J47" s="42">
        <v>1</v>
      </c>
    </row>
    <row r="48" spans="2:10" x14ac:dyDescent="0.2">
      <c r="B48" s="43" t="s">
        <v>91</v>
      </c>
      <c r="C48" s="40" t="s">
        <v>125</v>
      </c>
      <c r="D48" s="41">
        <v>2</v>
      </c>
      <c r="E48" s="41">
        <v>0.15</v>
      </c>
      <c r="F48" s="41">
        <v>0.85</v>
      </c>
      <c r="G48" s="41">
        <v>0.85</v>
      </c>
      <c r="H48" s="41">
        <v>0.75</v>
      </c>
      <c r="I48" s="41">
        <v>0.8</v>
      </c>
      <c r="J48" s="42">
        <v>4</v>
      </c>
    </row>
    <row r="49" spans="2:10" x14ac:dyDescent="0.2">
      <c r="B49" s="43" t="s">
        <v>91</v>
      </c>
      <c r="C49" s="40" t="s">
        <v>126</v>
      </c>
      <c r="D49" s="41">
        <v>2</v>
      </c>
      <c r="E49" s="41">
        <v>0.15</v>
      </c>
      <c r="F49" s="41">
        <v>0.85</v>
      </c>
      <c r="G49" s="41">
        <v>0.85</v>
      </c>
      <c r="H49" s="41">
        <v>0.75</v>
      </c>
      <c r="I49" s="41">
        <v>0.8</v>
      </c>
      <c r="J49" s="42">
        <v>4</v>
      </c>
    </row>
  </sheetData>
  <sheetProtection sheet="1" objects="1" scenarios="1"/>
  <mergeCells count="7">
    <mergeCell ref="B33:J33"/>
    <mergeCell ref="B42:J42"/>
    <mergeCell ref="B2:J2"/>
    <mergeCell ref="B3:J3"/>
    <mergeCell ref="B6:J6"/>
    <mergeCell ref="B15:J15"/>
    <mergeCell ref="B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41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25.9609375" style="15" customWidth="1"/>
    <col min="3" max="10" width="11.02734375" style="15" customWidth="1"/>
  </cols>
  <sheetData>
    <row r="2" spans="2:10" ht="19.5" customHeight="1" x14ac:dyDescent="0.2">
      <c r="B2" s="6" t="s">
        <v>131</v>
      </c>
      <c r="C2" s="6"/>
      <c r="D2" s="6"/>
      <c r="E2" s="6"/>
      <c r="F2" s="6"/>
      <c r="G2" s="6"/>
      <c r="H2" s="6"/>
      <c r="I2" s="6"/>
    </row>
    <row r="4" spans="2:10" ht="19.5" customHeight="1" x14ac:dyDescent="0.2">
      <c r="B4" s="9" t="s">
        <v>132</v>
      </c>
      <c r="C4" s="9"/>
      <c r="D4" s="9"/>
      <c r="E4" s="9"/>
      <c r="F4" s="9"/>
      <c r="G4" s="9"/>
    </row>
    <row r="5" spans="2:10" ht="27.75" customHeight="1" x14ac:dyDescent="0.2">
      <c r="B5" s="44" t="s">
        <v>133</v>
      </c>
      <c r="C5" s="45" t="s">
        <v>134</v>
      </c>
      <c r="D5" s="45" t="s">
        <v>83</v>
      </c>
      <c r="E5" s="46" t="s">
        <v>135</v>
      </c>
      <c r="F5" s="46" t="s">
        <v>136</v>
      </c>
      <c r="G5" s="46" t="s">
        <v>91</v>
      </c>
      <c r="H5" s="47" t="s">
        <v>137</v>
      </c>
    </row>
    <row r="6" spans="2:10" x14ac:dyDescent="0.2">
      <c r="B6" s="39" t="s">
        <v>79</v>
      </c>
      <c r="C6" s="41">
        <v>0.25</v>
      </c>
      <c r="D6" s="41">
        <v>0.25</v>
      </c>
      <c r="E6" s="41">
        <v>0.25</v>
      </c>
      <c r="F6" s="41">
        <v>0.25</v>
      </c>
      <c r="G6" s="41">
        <v>0.25</v>
      </c>
      <c r="H6" s="48">
        <f>C6+D6+E6+F6+G6</f>
        <v>1.25</v>
      </c>
    </row>
    <row r="7" spans="2:10" x14ac:dyDescent="0.2">
      <c r="B7" s="39" t="s">
        <v>82</v>
      </c>
      <c r="C7" s="41">
        <v>0.25</v>
      </c>
      <c r="D7" s="41">
        <v>0.25</v>
      </c>
      <c r="E7" s="41">
        <v>0.25</v>
      </c>
      <c r="F7" s="41">
        <v>0.25</v>
      </c>
      <c r="G7" s="41">
        <v>0.25</v>
      </c>
      <c r="H7" s="48">
        <f>C7+D7+E7+F7+G7</f>
        <v>1.25</v>
      </c>
    </row>
    <row r="8" spans="2:10" x14ac:dyDescent="0.2">
      <c r="B8" s="39" t="s">
        <v>84</v>
      </c>
      <c r="C8" s="41">
        <v>0.4</v>
      </c>
      <c r="D8" s="41">
        <v>0.4</v>
      </c>
      <c r="E8" s="41">
        <v>0.05</v>
      </c>
      <c r="F8" s="41">
        <v>0.05</v>
      </c>
      <c r="G8" s="41">
        <v>0.05</v>
      </c>
      <c r="H8" s="48">
        <f>C8+D8+E8+F8+G8</f>
        <v>0.95000000000000018</v>
      </c>
    </row>
    <row r="9" spans="2:10" x14ac:dyDescent="0.2">
      <c r="B9" s="39" t="s">
        <v>88</v>
      </c>
      <c r="C9" s="41">
        <v>0.22500000000000001</v>
      </c>
      <c r="D9" s="41">
        <v>0.22500000000000001</v>
      </c>
      <c r="E9" s="41">
        <v>0.125</v>
      </c>
      <c r="F9" s="41">
        <v>0.125</v>
      </c>
      <c r="G9" s="41">
        <v>0.125</v>
      </c>
      <c r="H9" s="48">
        <f>C9+D9+E9+F9+G9</f>
        <v>0.82499999999999996</v>
      </c>
    </row>
    <row r="10" spans="2:10" x14ac:dyDescent="0.2">
      <c r="B10" s="39" t="s">
        <v>90</v>
      </c>
      <c r="C10" s="41">
        <v>0.22500000000000001</v>
      </c>
      <c r="D10" s="41">
        <v>0.22500000000000001</v>
      </c>
      <c r="E10" s="41">
        <v>0.125</v>
      </c>
      <c r="F10" s="41">
        <v>0.125</v>
      </c>
      <c r="G10" s="41">
        <v>0.125</v>
      </c>
      <c r="H10" s="48">
        <f>C10+D10+E10+F10+G10</f>
        <v>0.82499999999999996</v>
      </c>
    </row>
    <row r="11" spans="2:10" x14ac:dyDescent="0.2">
      <c r="B11" s="39" t="s">
        <v>92</v>
      </c>
      <c r="C11" s="41">
        <v>0.3</v>
      </c>
      <c r="D11" s="41">
        <v>0.3</v>
      </c>
      <c r="E11" s="41">
        <v>0.125</v>
      </c>
      <c r="F11" s="41">
        <v>0.125</v>
      </c>
      <c r="G11" s="41">
        <v>0.125</v>
      </c>
      <c r="H11" s="48">
        <f>C11+D11+E11+F11+G11</f>
        <v>0.97499999999999998</v>
      </c>
    </row>
    <row r="12" spans="2:10" x14ac:dyDescent="0.2">
      <c r="B12" s="39" t="s">
        <v>94</v>
      </c>
      <c r="C12" s="41">
        <v>0.3</v>
      </c>
      <c r="D12" s="41">
        <v>0.3</v>
      </c>
      <c r="E12" s="41">
        <v>0.125</v>
      </c>
      <c r="F12" s="41">
        <v>0.125</v>
      </c>
      <c r="G12" s="41">
        <v>0.125</v>
      </c>
      <c r="H12" s="48">
        <f>C12+D12+E12+F12+G12</f>
        <v>0.97499999999999998</v>
      </c>
    </row>
    <row r="15" spans="2:10" ht="19.5" customHeight="1" x14ac:dyDescent="0.2">
      <c r="B15" s="9" t="s">
        <v>138</v>
      </c>
      <c r="C15" s="9"/>
      <c r="D15" s="9"/>
      <c r="E15" s="9"/>
      <c r="F15" s="9"/>
      <c r="G15" s="9"/>
      <c r="H15" s="9"/>
      <c r="I15" s="9"/>
    </row>
    <row r="16" spans="2:10" ht="27.75" customHeight="1" x14ac:dyDescent="0.2">
      <c r="B16" s="44" t="s">
        <v>133</v>
      </c>
      <c r="C16" s="45" t="s">
        <v>139</v>
      </c>
      <c r="D16" s="45" t="s">
        <v>140</v>
      </c>
      <c r="E16" s="49" t="s">
        <v>141</v>
      </c>
      <c r="F16" s="46" t="s">
        <v>88</v>
      </c>
      <c r="G16" s="46" t="s">
        <v>90</v>
      </c>
      <c r="H16" s="50" t="s">
        <v>92</v>
      </c>
      <c r="I16" s="50" t="s">
        <v>142</v>
      </c>
      <c r="J16" s="47" t="s">
        <v>137</v>
      </c>
    </row>
    <row r="17" spans="2:10" x14ac:dyDescent="0.2">
      <c r="B17" s="43" t="s">
        <v>81</v>
      </c>
      <c r="C17" s="41">
        <v>0.25</v>
      </c>
      <c r="D17" s="41">
        <v>0.25</v>
      </c>
      <c r="E17" s="41">
        <v>0.15</v>
      </c>
      <c r="F17" s="41">
        <v>0.25</v>
      </c>
      <c r="G17" s="41">
        <v>0.25</v>
      </c>
      <c r="H17" s="41">
        <v>0.15</v>
      </c>
      <c r="I17" s="41">
        <v>0.15</v>
      </c>
      <c r="J17" s="48">
        <f>C17+D17+E17+F17+G17+H17+I17</f>
        <v>1.4499999999999997</v>
      </c>
    </row>
    <row r="18" spans="2:10" x14ac:dyDescent="0.2">
      <c r="B18" s="43" t="s">
        <v>83</v>
      </c>
      <c r="C18" s="41">
        <v>0.25</v>
      </c>
      <c r="D18" s="41">
        <v>0.25</v>
      </c>
      <c r="E18" s="41">
        <v>0.15</v>
      </c>
      <c r="F18" s="41">
        <v>0.25</v>
      </c>
      <c r="G18" s="41">
        <v>0.25</v>
      </c>
      <c r="H18" s="41">
        <v>0.15</v>
      </c>
      <c r="I18" s="41">
        <v>0.15</v>
      </c>
      <c r="J18" s="48">
        <f>C18+D18+E18+F18+G18+H18+I18</f>
        <v>1.4499999999999997</v>
      </c>
    </row>
    <row r="19" spans="2:10" x14ac:dyDescent="0.2">
      <c r="B19" s="43" t="s">
        <v>86</v>
      </c>
      <c r="C19" s="41">
        <v>0.22500000000000001</v>
      </c>
      <c r="D19" s="41">
        <v>0.22500000000000001</v>
      </c>
      <c r="E19" s="41">
        <v>0.05</v>
      </c>
      <c r="F19" s="41">
        <v>0.125</v>
      </c>
      <c r="G19" s="41">
        <v>0.125</v>
      </c>
      <c r="H19" s="41">
        <v>0.1</v>
      </c>
      <c r="I19" s="41">
        <v>0.1</v>
      </c>
      <c r="J19" s="48">
        <f>C19+D19+E19+F19+G19+H19+I19</f>
        <v>0.95</v>
      </c>
    </row>
    <row r="20" spans="2:10" x14ac:dyDescent="0.2">
      <c r="B20" s="43" t="s">
        <v>89</v>
      </c>
      <c r="C20" s="41">
        <v>0.22500000000000001</v>
      </c>
      <c r="D20" s="41">
        <v>0.22500000000000001</v>
      </c>
      <c r="E20" s="41">
        <v>0.05</v>
      </c>
      <c r="F20" s="41">
        <v>0.125</v>
      </c>
      <c r="G20" s="41">
        <v>0.125</v>
      </c>
      <c r="H20" s="41">
        <v>0.1</v>
      </c>
      <c r="I20" s="41">
        <v>0.1</v>
      </c>
      <c r="J20" s="48">
        <f>C20+D20+E20+F20+G20+H20+I20</f>
        <v>0.95</v>
      </c>
    </row>
    <row r="21" spans="2:10" x14ac:dyDescent="0.2">
      <c r="B21" s="43" t="s">
        <v>91</v>
      </c>
      <c r="C21" s="41">
        <v>0.22500000000000001</v>
      </c>
      <c r="D21" s="41">
        <v>0.22500000000000001</v>
      </c>
      <c r="E21" s="41">
        <v>0.05</v>
      </c>
      <c r="F21" s="41">
        <v>0.125</v>
      </c>
      <c r="G21" s="41">
        <v>0.125</v>
      </c>
      <c r="H21" s="41">
        <v>0.1</v>
      </c>
      <c r="I21" s="41">
        <v>0.1</v>
      </c>
      <c r="J21" s="48">
        <f>C21+D21+E21+F21+G21+H21+I21</f>
        <v>0.95</v>
      </c>
    </row>
    <row r="24" spans="2:10" ht="19.5" customHeight="1" x14ac:dyDescent="0.2">
      <c r="B24" s="9" t="s">
        <v>143</v>
      </c>
      <c r="C24" s="9"/>
      <c r="D24" s="9"/>
      <c r="E24" s="9"/>
      <c r="F24" s="9"/>
      <c r="G24" s="9"/>
    </row>
    <row r="25" spans="2:10" ht="27.75" customHeight="1" x14ac:dyDescent="0.2">
      <c r="B25" s="44" t="s">
        <v>133</v>
      </c>
      <c r="C25" s="45" t="s">
        <v>134</v>
      </c>
      <c r="D25" s="45" t="s">
        <v>83</v>
      </c>
      <c r="E25" s="46" t="s">
        <v>135</v>
      </c>
      <c r="F25" s="46" t="s">
        <v>136</v>
      </c>
      <c r="G25" s="46" t="s">
        <v>91</v>
      </c>
      <c r="H25" s="47" t="s">
        <v>144</v>
      </c>
    </row>
    <row r="26" spans="2:10" x14ac:dyDescent="0.2">
      <c r="B26" s="39" t="s">
        <v>79</v>
      </c>
      <c r="C26" s="41">
        <v>0.25</v>
      </c>
      <c r="D26" s="41">
        <v>0.25</v>
      </c>
      <c r="E26" s="41">
        <v>0.15</v>
      </c>
      <c r="F26" s="41">
        <v>0.15</v>
      </c>
      <c r="G26" s="41">
        <v>0.15</v>
      </c>
      <c r="H26" s="48">
        <f>C26+D26+E26+F26+G26</f>
        <v>0.95000000000000007</v>
      </c>
    </row>
    <row r="27" spans="2:10" x14ac:dyDescent="0.2">
      <c r="B27" s="39" t="s">
        <v>82</v>
      </c>
      <c r="C27" s="41">
        <v>0.25</v>
      </c>
      <c r="D27" s="41">
        <v>0.25</v>
      </c>
      <c r="E27" s="41">
        <v>0.15</v>
      </c>
      <c r="F27" s="41">
        <v>0.15</v>
      </c>
      <c r="G27" s="41">
        <v>0.15</v>
      </c>
      <c r="H27" s="48">
        <f>C27+D27+E27+F27+G27</f>
        <v>0.95000000000000007</v>
      </c>
    </row>
    <row r="28" spans="2:10" x14ac:dyDescent="0.2">
      <c r="B28" s="39" t="s">
        <v>84</v>
      </c>
      <c r="C28" s="41">
        <v>0.05</v>
      </c>
      <c r="D28" s="41">
        <v>0.05</v>
      </c>
      <c r="E28" s="41">
        <v>0</v>
      </c>
      <c r="F28" s="41">
        <v>0</v>
      </c>
      <c r="G28" s="41">
        <v>0</v>
      </c>
      <c r="H28" s="48">
        <f>C28+D28+E28+F28+G28</f>
        <v>0.1</v>
      </c>
    </row>
    <row r="29" spans="2:10" x14ac:dyDescent="0.2">
      <c r="B29" s="39" t="s">
        <v>88</v>
      </c>
      <c r="C29" s="41">
        <v>0.05</v>
      </c>
      <c r="D29" s="41">
        <v>0.05</v>
      </c>
      <c r="E29" s="41">
        <v>0.25</v>
      </c>
      <c r="F29" s="41">
        <v>0.25</v>
      </c>
      <c r="G29" s="41">
        <v>0.25</v>
      </c>
      <c r="H29" s="48">
        <f>C29+D29+E29+F29+G29</f>
        <v>0.85</v>
      </c>
    </row>
    <row r="30" spans="2:10" x14ac:dyDescent="0.2">
      <c r="B30" s="39" t="s">
        <v>90</v>
      </c>
      <c r="C30" s="41">
        <v>0.05</v>
      </c>
      <c r="D30" s="41">
        <v>0.05</v>
      </c>
      <c r="E30" s="41">
        <v>0.25</v>
      </c>
      <c r="F30" s="41">
        <v>0.25</v>
      </c>
      <c r="G30" s="41">
        <v>0.25</v>
      </c>
      <c r="H30" s="48">
        <f>C30+D30+E30+F30+G30</f>
        <v>0.85</v>
      </c>
    </row>
    <row r="31" spans="2:10" x14ac:dyDescent="0.2">
      <c r="B31" s="39" t="s">
        <v>92</v>
      </c>
      <c r="C31" s="41">
        <v>0.1</v>
      </c>
      <c r="D31" s="41">
        <v>0.1</v>
      </c>
      <c r="E31" s="41">
        <v>0.15</v>
      </c>
      <c r="F31" s="41">
        <v>0.15</v>
      </c>
      <c r="G31" s="41">
        <v>0.15</v>
      </c>
      <c r="H31" s="48">
        <f>C31+D31+E31+F31+G31</f>
        <v>0.65</v>
      </c>
    </row>
    <row r="32" spans="2:10" x14ac:dyDescent="0.2">
      <c r="B32" s="39" t="s">
        <v>94</v>
      </c>
      <c r="C32" s="41">
        <v>0.1</v>
      </c>
      <c r="D32" s="41">
        <v>0.1</v>
      </c>
      <c r="E32" s="41">
        <v>0.15</v>
      </c>
      <c r="F32" s="41">
        <v>0.15</v>
      </c>
      <c r="G32" s="41">
        <v>0.15</v>
      </c>
      <c r="H32" s="48">
        <f>C32+D32+E32+F32+G32</f>
        <v>0.65</v>
      </c>
    </row>
    <row r="35" spans="2:10" ht="19.5" customHeight="1" x14ac:dyDescent="0.2">
      <c r="B35" s="9" t="s">
        <v>145</v>
      </c>
      <c r="C35" s="9"/>
      <c r="D35" s="9"/>
      <c r="E35" s="9"/>
      <c r="F35" s="9"/>
      <c r="G35" s="9"/>
      <c r="H35" s="9"/>
      <c r="I35" s="9"/>
    </row>
    <row r="36" spans="2:10" ht="27.75" customHeight="1" x14ac:dyDescent="0.2">
      <c r="B36" s="44" t="s">
        <v>133</v>
      </c>
      <c r="C36" s="45" t="s">
        <v>139</v>
      </c>
      <c r="D36" s="45" t="s">
        <v>140</v>
      </c>
      <c r="E36" s="49" t="s">
        <v>141</v>
      </c>
      <c r="F36" s="46" t="s">
        <v>88</v>
      </c>
      <c r="G36" s="46" t="s">
        <v>90</v>
      </c>
      <c r="H36" s="50" t="s">
        <v>92</v>
      </c>
      <c r="I36" s="50" t="s">
        <v>142</v>
      </c>
      <c r="J36" s="47" t="s">
        <v>144</v>
      </c>
    </row>
    <row r="37" spans="2:10" x14ac:dyDescent="0.2">
      <c r="B37" s="43" t="s">
        <v>81</v>
      </c>
      <c r="C37" s="41">
        <v>0.25</v>
      </c>
      <c r="D37" s="41">
        <v>0.25</v>
      </c>
      <c r="E37" s="41">
        <v>0.1</v>
      </c>
      <c r="F37" s="41">
        <v>0.15</v>
      </c>
      <c r="G37" s="41">
        <v>0.15</v>
      </c>
      <c r="H37" s="41">
        <v>0.05</v>
      </c>
      <c r="I37" s="41">
        <v>0.05</v>
      </c>
      <c r="J37" s="48">
        <f>C37+D37+E37+F37+G37+H37+I37</f>
        <v>1</v>
      </c>
    </row>
    <row r="38" spans="2:10" x14ac:dyDescent="0.2">
      <c r="B38" s="43" t="s">
        <v>83</v>
      </c>
      <c r="C38" s="41">
        <v>0.25</v>
      </c>
      <c r="D38" s="41">
        <v>0.25</v>
      </c>
      <c r="E38" s="41">
        <v>0.1</v>
      </c>
      <c r="F38" s="41">
        <v>0.15</v>
      </c>
      <c r="G38" s="41">
        <v>0.15</v>
      </c>
      <c r="H38" s="41">
        <v>0.05</v>
      </c>
      <c r="I38" s="41">
        <v>0.05</v>
      </c>
      <c r="J38" s="48">
        <f>C38+D38+E38+F38+G38+H38+I38</f>
        <v>1</v>
      </c>
    </row>
    <row r="39" spans="2:10" x14ac:dyDescent="0.2">
      <c r="B39" s="43" t="s">
        <v>86</v>
      </c>
      <c r="C39" s="41">
        <v>0.05</v>
      </c>
      <c r="D39" s="41">
        <v>0.05</v>
      </c>
      <c r="E39" s="41">
        <v>2.5000000000000001E-2</v>
      </c>
      <c r="F39" s="41">
        <v>0.25</v>
      </c>
      <c r="G39" s="41">
        <v>0.25</v>
      </c>
      <c r="H39" s="41">
        <v>0.05</v>
      </c>
      <c r="I39" s="41">
        <v>0.05</v>
      </c>
      <c r="J39" s="48">
        <f>C39+D39+E39+F39+G39+H39+I39</f>
        <v>0.72500000000000009</v>
      </c>
    </row>
    <row r="40" spans="2:10" x14ac:dyDescent="0.2">
      <c r="B40" s="43" t="s">
        <v>89</v>
      </c>
      <c r="C40" s="41">
        <v>0.05</v>
      </c>
      <c r="D40" s="41">
        <v>0.05</v>
      </c>
      <c r="E40" s="41">
        <v>2.5000000000000001E-2</v>
      </c>
      <c r="F40" s="41">
        <v>0.25</v>
      </c>
      <c r="G40" s="41">
        <v>0.25</v>
      </c>
      <c r="H40" s="41">
        <v>0.05</v>
      </c>
      <c r="I40" s="41">
        <v>0.05</v>
      </c>
      <c r="J40" s="48">
        <f>C40+D40+E40+F40+G40+H40+I40</f>
        <v>0.72500000000000009</v>
      </c>
    </row>
    <row r="41" spans="2:10" x14ac:dyDescent="0.2">
      <c r="B41" s="43" t="s">
        <v>91</v>
      </c>
      <c r="C41" s="41">
        <v>0.05</v>
      </c>
      <c r="D41" s="41">
        <v>0.05</v>
      </c>
      <c r="E41" s="41">
        <v>2.5000000000000001E-2</v>
      </c>
      <c r="F41" s="41">
        <v>0.25</v>
      </c>
      <c r="G41" s="41">
        <v>0.25</v>
      </c>
      <c r="H41" s="41">
        <v>0.05</v>
      </c>
      <c r="I41" s="41">
        <v>0.05</v>
      </c>
      <c r="J41" s="48">
        <f>C41+D41+E41+F41+G41+H41+I41</f>
        <v>0.72500000000000009</v>
      </c>
    </row>
  </sheetData>
  <sheetProtection sheet="1" objects="1" scenarios="1"/>
  <mergeCells count="5">
    <mergeCell ref="B2:I2"/>
    <mergeCell ref="B4:G4"/>
    <mergeCell ref="B15:I15"/>
    <mergeCell ref="B24:G24"/>
    <mergeCell ref="B35:I35"/>
  </mergeCells>
  <conditionalFormatting sqref="H6:H8">
    <cfRule type="cellIs" dxfId="7" priority="2" operator="greaterThan">
      <formula>2.001</formula>
    </cfRule>
  </conditionalFormatting>
  <conditionalFormatting sqref="H9:H12">
    <cfRule type="cellIs" dxfId="6" priority="3" operator="greaterThan">
      <formula>1.001</formula>
    </cfRule>
  </conditionalFormatting>
  <conditionalFormatting sqref="H26:H32">
    <cfRule type="cellIs" dxfId="5" priority="6" operator="greaterThan">
      <formula>1.001</formula>
    </cfRule>
  </conditionalFormatting>
  <conditionalFormatting sqref="J17:J18">
    <cfRule type="cellIs" dxfId="4" priority="4" operator="greaterThan">
      <formula>2.001</formula>
    </cfRule>
  </conditionalFormatting>
  <conditionalFormatting sqref="J19:J21">
    <cfRule type="cellIs" dxfId="3" priority="5" operator="greaterThan">
      <formula>1.001</formula>
    </cfRule>
  </conditionalFormatting>
  <conditionalFormatting sqref="J37:J41">
    <cfRule type="cellIs" dxfId="2" priority="7" operator="greaterThan">
      <formula>1.001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25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16.0078125" style="15" customWidth="1"/>
    <col min="3" max="3" width="22.05859375" style="15" customWidth="1"/>
    <col min="4" max="8" width="9.01171875" style="15" customWidth="1"/>
  </cols>
  <sheetData>
    <row r="2" spans="2:8" ht="19.5" customHeight="1" x14ac:dyDescent="0.2">
      <c r="B2" s="6" t="s">
        <v>146</v>
      </c>
      <c r="C2" s="6"/>
      <c r="D2" s="6"/>
      <c r="E2" s="6"/>
      <c r="F2" s="6"/>
      <c r="G2" s="6"/>
      <c r="H2" s="6"/>
    </row>
    <row r="3" spans="2:8" ht="15" customHeight="1" x14ac:dyDescent="0.2">
      <c r="B3" s="97" t="s">
        <v>147</v>
      </c>
      <c r="C3" s="97"/>
      <c r="D3" s="97"/>
      <c r="E3" s="97"/>
      <c r="F3" s="97"/>
      <c r="G3" s="97"/>
      <c r="H3" s="97"/>
    </row>
    <row r="5" spans="2:8" ht="19.5" customHeight="1" x14ac:dyDescent="0.2">
      <c r="B5" s="9" t="s">
        <v>148</v>
      </c>
      <c r="C5" s="9"/>
      <c r="D5" s="9"/>
      <c r="E5" s="9"/>
      <c r="F5" s="9"/>
      <c r="G5" s="9"/>
      <c r="H5" s="9"/>
    </row>
    <row r="6" spans="2:8" ht="21.75" customHeight="1" x14ac:dyDescent="0.2">
      <c r="B6" s="47" t="s">
        <v>149</v>
      </c>
      <c r="C6" s="47" t="s">
        <v>150</v>
      </c>
      <c r="D6" s="47" t="s">
        <v>151</v>
      </c>
      <c r="E6" s="47" t="s">
        <v>152</v>
      </c>
      <c r="F6" s="47" t="s">
        <v>153</v>
      </c>
      <c r="G6" s="47" t="s">
        <v>154</v>
      </c>
      <c r="H6" s="47" t="s">
        <v>155</v>
      </c>
    </row>
    <row r="7" spans="2:8" x14ac:dyDescent="0.2">
      <c r="B7" s="51" t="s">
        <v>156</v>
      </c>
      <c r="C7" s="52" t="s">
        <v>157</v>
      </c>
      <c r="D7" s="41">
        <v>0.7</v>
      </c>
      <c r="E7" s="41">
        <v>0.1</v>
      </c>
      <c r="F7" s="41">
        <v>0.1</v>
      </c>
      <c r="G7" s="34">
        <v>6</v>
      </c>
      <c r="H7" s="34">
        <v>7</v>
      </c>
    </row>
    <row r="8" spans="2:8" x14ac:dyDescent="0.2">
      <c r="B8" s="51" t="s">
        <v>158</v>
      </c>
      <c r="C8" s="52" t="s">
        <v>159</v>
      </c>
      <c r="D8" s="41">
        <v>0.1</v>
      </c>
      <c r="E8" s="41">
        <v>0.7</v>
      </c>
      <c r="F8" s="41">
        <v>0.1</v>
      </c>
      <c r="G8" s="34">
        <v>5</v>
      </c>
      <c r="H8" s="34">
        <v>6</v>
      </c>
    </row>
    <row r="9" spans="2:8" x14ac:dyDescent="0.2">
      <c r="B9" s="51" t="s">
        <v>160</v>
      </c>
      <c r="C9" s="52" t="s">
        <v>161</v>
      </c>
      <c r="D9" s="41">
        <v>0.1</v>
      </c>
      <c r="E9" s="41">
        <v>0.1</v>
      </c>
      <c r="F9" s="41">
        <v>0.7</v>
      </c>
      <c r="G9" s="34">
        <v>4</v>
      </c>
      <c r="H9" s="34">
        <v>6</v>
      </c>
    </row>
    <row r="10" spans="2:8" x14ac:dyDescent="0.2">
      <c r="B10" s="51" t="s">
        <v>162</v>
      </c>
      <c r="C10" s="52" t="s">
        <v>163</v>
      </c>
      <c r="D10" s="41">
        <v>0.5</v>
      </c>
      <c r="E10" s="41">
        <v>0.5</v>
      </c>
      <c r="F10" s="41">
        <v>0.5</v>
      </c>
      <c r="G10" s="34">
        <v>8</v>
      </c>
      <c r="H10" s="34">
        <v>6</v>
      </c>
    </row>
    <row r="13" spans="2:8" ht="19.5" customHeight="1" x14ac:dyDescent="0.2">
      <c r="B13" s="9" t="s">
        <v>164</v>
      </c>
      <c r="C13" s="9"/>
      <c r="D13" s="9"/>
      <c r="E13" s="9"/>
      <c r="F13" s="9"/>
      <c r="G13" s="9"/>
      <c r="H13" s="9"/>
    </row>
    <row r="14" spans="2:8" x14ac:dyDescent="0.2">
      <c r="B14" s="47" t="s">
        <v>165</v>
      </c>
      <c r="C14" s="47" t="s">
        <v>166</v>
      </c>
      <c r="D14" s="47" t="s">
        <v>167</v>
      </c>
      <c r="E14" s="47" t="s">
        <v>168</v>
      </c>
      <c r="F14" s="47" t="s">
        <v>169</v>
      </c>
      <c r="G14" s="47" t="s">
        <v>170</v>
      </c>
      <c r="H14" s="47"/>
    </row>
    <row r="15" spans="2:8" x14ac:dyDescent="0.2">
      <c r="B15" s="51" t="s">
        <v>171</v>
      </c>
      <c r="C15" s="41">
        <v>1</v>
      </c>
      <c r="D15" s="41">
        <v>2</v>
      </c>
      <c r="E15" s="53">
        <f>SUMPRODUCT(D7:D10,H7:H10)/MAX(0.0001,SUMPRODUCT(D7:D10,G7:G10))</f>
        <v>1</v>
      </c>
      <c r="F15" s="54">
        <f>1/(1+(E15/MAX(0.0001,C15))^D15)</f>
        <v>0.5</v>
      </c>
      <c r="G15" s="54">
        <f>1/(1+((1/MAX(0.0001,E15))/MAX(0.0001,C15))^D15)</f>
        <v>0.5</v>
      </c>
    </row>
    <row r="16" spans="2:8" x14ac:dyDescent="0.2">
      <c r="B16" s="51" t="s">
        <v>172</v>
      </c>
      <c r="C16" s="41">
        <v>1</v>
      </c>
      <c r="D16" s="41">
        <v>2</v>
      </c>
      <c r="E16" s="53">
        <f>SUMPRODUCT(E7:E10,H7:H10)/MAX(0.0001,SUMPRODUCT(E7:E10,G7:G10))</f>
        <v>1</v>
      </c>
      <c r="F16" s="54">
        <f>1/(1+(E16/MAX(0.0001,C16))^D16)</f>
        <v>0.5</v>
      </c>
      <c r="G16" s="54">
        <f>1/(1+((1/MAX(0.0001,E16))/MAX(0.0001,C16))^D16)</f>
        <v>0.5</v>
      </c>
    </row>
    <row r="17" spans="2:8" x14ac:dyDescent="0.2">
      <c r="B17" s="51" t="s">
        <v>173</v>
      </c>
      <c r="C17" s="41">
        <v>1</v>
      </c>
      <c r="D17" s="41">
        <v>2</v>
      </c>
      <c r="E17" s="53">
        <f>SUMPRODUCT(F7:F10,H7:H10)/MAX(0.0001,SUMPRODUCT(F7:F10,G7:G10))</f>
        <v>1.0759493670886076</v>
      </c>
      <c r="F17" s="54">
        <f>1/(1+(E17/MAX(0.0001,C17))^D17)</f>
        <v>0.46346353779890093</v>
      </c>
      <c r="G17" s="54">
        <f>1/(1+((1/MAX(0.0001,E17))/MAX(0.0001,C17))^D17)</f>
        <v>0.53653646220109907</v>
      </c>
    </row>
    <row r="21" spans="2:8" ht="19.5" customHeight="1" x14ac:dyDescent="0.2">
      <c r="B21" s="5" t="s">
        <v>174</v>
      </c>
      <c r="C21" s="5"/>
      <c r="D21" s="5"/>
      <c r="E21" s="5"/>
      <c r="F21" s="5"/>
      <c r="G21" s="5"/>
      <c r="H21" s="5"/>
    </row>
    <row r="22" spans="2:8" x14ac:dyDescent="0.2">
      <c r="B22" s="32" t="s">
        <v>175</v>
      </c>
      <c r="C22" s="32" t="s">
        <v>176</v>
      </c>
      <c r="D22" s="32" t="s">
        <v>177</v>
      </c>
      <c r="E22" s="32" t="s">
        <v>178</v>
      </c>
    </row>
    <row r="23" spans="2:8" x14ac:dyDescent="0.2">
      <c r="B23" s="55" t="s">
        <v>179</v>
      </c>
      <c r="C23" s="54">
        <f>F15</f>
        <v>0.5</v>
      </c>
      <c r="D23" s="54">
        <f>F16</f>
        <v>0.5</v>
      </c>
      <c r="E23" s="54">
        <f>F17</f>
        <v>0.46346353779890093</v>
      </c>
    </row>
    <row r="24" spans="2:8" x14ac:dyDescent="0.2">
      <c r="B24" s="56" t="s">
        <v>180</v>
      </c>
      <c r="C24" s="54">
        <f>G15</f>
        <v>0.5</v>
      </c>
      <c r="D24" s="54">
        <f>G16</f>
        <v>0.5</v>
      </c>
      <c r="E24" s="54">
        <f>G17</f>
        <v>0.53653646220109907</v>
      </c>
    </row>
    <row r="25" spans="2:8" x14ac:dyDescent="0.2">
      <c r="B25" s="57" t="s">
        <v>181</v>
      </c>
      <c r="C25" s="58">
        <f>1</f>
        <v>1</v>
      </c>
      <c r="D25" s="58">
        <f>1</f>
        <v>1</v>
      </c>
      <c r="E25" s="58">
        <f>1</f>
        <v>1</v>
      </c>
    </row>
  </sheetData>
  <sheetProtection sheet="1" objects="1" scenarios="1"/>
  <mergeCells count="5">
    <mergeCell ref="B2:H2"/>
    <mergeCell ref="B3:H3"/>
    <mergeCell ref="B5:H5"/>
    <mergeCell ref="B13:H13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1"/>
  <sheetViews>
    <sheetView showGridLines="0" tabSelected="1" topLeftCell="A2" zoomScaleNormal="100" workbookViewId="0">
      <selection activeCell="C18" sqref="C18"/>
    </sheetView>
  </sheetViews>
  <sheetFormatPr defaultColWidth="8.7421875" defaultRowHeight="15" x14ac:dyDescent="0.2"/>
  <cols>
    <col min="1" max="1" width="2.015625" style="15" customWidth="1"/>
    <col min="2" max="2" width="29.99609375" style="15" customWidth="1"/>
    <col min="3" max="6" width="7.93359375" style="15" customWidth="1"/>
  </cols>
  <sheetData>
    <row r="2" spans="2:6" ht="19.5" customHeight="1" x14ac:dyDescent="0.2">
      <c r="B2" s="6" t="s">
        <v>182</v>
      </c>
      <c r="C2" s="6"/>
      <c r="D2" s="6"/>
    </row>
    <row r="4" spans="2:6" ht="19.5" customHeight="1" x14ac:dyDescent="0.2">
      <c r="B4" s="9" t="s">
        <v>183</v>
      </c>
      <c r="C4" s="9"/>
      <c r="D4" s="9"/>
    </row>
    <row r="5" spans="2:6" x14ac:dyDescent="0.2">
      <c r="B5" s="59" t="s">
        <v>184</v>
      </c>
      <c r="C5" s="60" t="s">
        <v>57</v>
      </c>
      <c r="D5" s="61" t="s">
        <v>185</v>
      </c>
    </row>
    <row r="8" spans="2:6" ht="19.5" customHeight="1" x14ac:dyDescent="0.2">
      <c r="B8" s="9" t="s">
        <v>186</v>
      </c>
      <c r="C8" s="9"/>
      <c r="D8" s="9"/>
    </row>
    <row r="9" spans="2:6" x14ac:dyDescent="0.2">
      <c r="B9" s="32" t="s">
        <v>187</v>
      </c>
      <c r="C9" s="62" t="s">
        <v>80</v>
      </c>
      <c r="D9" s="63" t="s">
        <v>85</v>
      </c>
      <c r="E9" s="64" t="s">
        <v>87</v>
      </c>
      <c r="F9" s="65" t="s">
        <v>93</v>
      </c>
    </row>
    <row r="10" spans="2:6" x14ac:dyDescent="0.2">
      <c r="B10" s="62" t="s">
        <v>80</v>
      </c>
      <c r="C10" s="66">
        <v>1</v>
      </c>
      <c r="D10" s="66">
        <v>1</v>
      </c>
      <c r="E10" s="66">
        <v>1</v>
      </c>
      <c r="F10" s="66">
        <v>1</v>
      </c>
    </row>
    <row r="11" spans="2:6" x14ac:dyDescent="0.2">
      <c r="B11" s="63" t="s">
        <v>85</v>
      </c>
      <c r="C11" s="66">
        <v>1</v>
      </c>
      <c r="D11" s="66">
        <v>1</v>
      </c>
      <c r="E11" s="42">
        <v>0.5</v>
      </c>
      <c r="F11" s="42">
        <v>0.5</v>
      </c>
    </row>
    <row r="12" spans="2:6" x14ac:dyDescent="0.2">
      <c r="B12" s="64" t="s">
        <v>87</v>
      </c>
      <c r="C12" s="66">
        <v>1</v>
      </c>
      <c r="D12" s="66">
        <v>1</v>
      </c>
      <c r="E12" s="66">
        <v>1</v>
      </c>
      <c r="F12" s="66">
        <v>1</v>
      </c>
    </row>
    <row r="13" spans="2:6" x14ac:dyDescent="0.2">
      <c r="B13" s="65" t="s">
        <v>93</v>
      </c>
      <c r="C13" s="66">
        <v>1</v>
      </c>
      <c r="D13" s="42">
        <v>0.5</v>
      </c>
      <c r="E13" s="66">
        <v>1</v>
      </c>
      <c r="F13" s="66">
        <v>1</v>
      </c>
    </row>
    <row r="16" spans="2:6" ht="19.5" customHeight="1" x14ac:dyDescent="0.2">
      <c r="B16" s="9" t="s">
        <v>188</v>
      </c>
      <c r="C16" s="9"/>
      <c r="D16" s="9"/>
    </row>
    <row r="17" spans="2:3" x14ac:dyDescent="0.2">
      <c r="B17" s="64" t="s">
        <v>87</v>
      </c>
      <c r="C17" s="42">
        <v>1</v>
      </c>
    </row>
    <row r="18" spans="2:3" x14ac:dyDescent="0.2">
      <c r="B18" s="62" t="s">
        <v>80</v>
      </c>
      <c r="C18" s="42">
        <v>10</v>
      </c>
    </row>
    <row r="19" spans="2:3" x14ac:dyDescent="0.2">
      <c r="B19" s="65" t="s">
        <v>93</v>
      </c>
      <c r="C19" s="42">
        <v>10</v>
      </c>
    </row>
    <row r="20" spans="2:3" x14ac:dyDescent="0.2">
      <c r="B20" s="63" t="s">
        <v>85</v>
      </c>
      <c r="C20" s="42">
        <v>30</v>
      </c>
    </row>
    <row r="21" spans="2:3" x14ac:dyDescent="0.2">
      <c r="B21" s="67" t="s">
        <v>189</v>
      </c>
      <c r="C21" s="42">
        <v>5</v>
      </c>
    </row>
  </sheetData>
  <sheetProtection sheet="1" objects="1" scenarios="1"/>
  <mergeCells count="4">
    <mergeCell ref="B2:D2"/>
    <mergeCell ref="B4:D4"/>
    <mergeCell ref="B8:D8"/>
    <mergeCell ref="B16:D16"/>
  </mergeCells>
  <dataValidations count="1">
    <dataValidation type="list" sqref="C5" xr:uid="{00000000-0002-0000-0700-000000000000}">
      <formula1>"Simultâneo,Azul ataca primeiro,Vermelha ataca primeiro"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A52"/>
  <sheetViews>
    <sheetView showGridLines="0" zoomScaleNormal="100" workbookViewId="0"/>
  </sheetViews>
  <sheetFormatPr defaultColWidth="8.7421875" defaultRowHeight="15" x14ac:dyDescent="0.2"/>
  <cols>
    <col min="1" max="1" width="4.03515625" style="15" customWidth="1"/>
    <col min="2" max="2" width="22.05859375" style="15" customWidth="1"/>
    <col min="3" max="79" width="11.02734375" style="15" customWidth="1"/>
  </cols>
  <sheetData>
    <row r="1" spans="1:12" ht="19.5" customHeight="1" x14ac:dyDescent="0.2">
      <c r="A1" s="98" t="s">
        <v>190</v>
      </c>
      <c r="B1" s="98"/>
      <c r="C1" s="98"/>
      <c r="D1" s="98"/>
      <c r="E1" s="98"/>
      <c r="F1" s="98"/>
    </row>
    <row r="2" spans="1:12" ht="24" customHeight="1" x14ac:dyDescent="0.2">
      <c r="A2" s="99" t="s">
        <v>191</v>
      </c>
      <c r="B2" s="99"/>
      <c r="C2" s="99"/>
      <c r="D2" s="99"/>
      <c r="E2" s="99"/>
      <c r="F2" s="99"/>
      <c r="G2" s="99"/>
      <c r="H2" s="99"/>
    </row>
    <row r="4" spans="1:12" x14ac:dyDescent="0.2">
      <c r="A4" s="32" t="s">
        <v>192</v>
      </c>
      <c r="B4" s="32" t="s">
        <v>193</v>
      </c>
      <c r="C4" s="32" t="s">
        <v>194</v>
      </c>
      <c r="D4" s="32" t="s">
        <v>195</v>
      </c>
      <c r="E4" s="32" t="s">
        <v>196</v>
      </c>
      <c r="F4" s="32" t="s">
        <v>197</v>
      </c>
      <c r="G4" s="32" t="s">
        <v>198</v>
      </c>
      <c r="H4" s="32" t="s">
        <v>199</v>
      </c>
      <c r="I4" s="32" t="s">
        <v>200</v>
      </c>
      <c r="J4" s="32" t="s">
        <v>201</v>
      </c>
      <c r="K4" s="32" t="s">
        <v>202</v>
      </c>
      <c r="L4" s="32" t="s">
        <v>203</v>
      </c>
    </row>
    <row r="5" spans="1:12" x14ac:dyDescent="0.2">
      <c r="A5" s="68" t="s">
        <v>204</v>
      </c>
      <c r="B5" s="40" t="s">
        <v>79</v>
      </c>
      <c r="C5" s="69">
        <f>('7.Config'!$C$10*'4.Parâmetros_Verm'!$D$7*'4.Parâmetros_Verm'!$F$7*'4.Parâmetros_Verm'!$G$7*'4.Parâmetros_Verm'!$H$7*'5.Mira'!$C$17*'6.Cibernético'!$C$24*'6.Cibernético'!$D$23*'9.Simulação'!$K$7)+('7.Config'!$C$10*'4.Parâmetros_Verm'!$D$16*'4.Parâmetros_Verm'!$F$16*'4.Parâmetros_Verm'!$G$16*'4.Parâmetros_Verm'!$H$16*'5.Mira'!$C$18*'6.Cibernético'!$C$24*'6.Cibernético'!$D$23*'9.Simulação'!$L$7)+('7.Config'!$C$12*'4.Parâmetros_Verm'!$D$25*'4.Parâmetros_Verm'!$F$25*'4.Parâmetros_Verm'!$G$25*'4.Parâmetros_Verm'!$H$25*'5.Mira'!$C$19*'6.Cibernético'!$C$24*'6.Cibernético'!$D$23*'9.Simulação'!$M$7)+('7.Config'!$C$12*'4.Parâmetros_Verm'!$D$34*'4.Parâmetros_Verm'!$F$34*'4.Parâmetros_Verm'!$G$34*'4.Parâmetros_Verm'!$H$34*'5.Mira'!$C$20*'6.Cibernético'!$C$24*'6.Cibernético'!$D$23*'9.Simulação'!$N$7)+('7.Config'!$C$12*'4.Parâmetros_Verm'!$D$43*'4.Parâmetros_Verm'!$F$43*'4.Parâmetros_Verm'!$G$43*'4.Parâmetros_Verm'!$H$43*'5.Mira'!$C$21*'6.Cibernético'!$C$24*'6.Cibernético'!$D$23*'9.Simulação'!$O$7)</f>
        <v>0.99445218749999997</v>
      </c>
      <c r="D5" s="69">
        <f>('7.Config'!$C$10*'4.Parâmetros_Verm'!$D$7*'4.Parâmetros_Verm'!$F$7*'4.Parâmetros_Verm'!$G$7*'4.Parâmetros_Verm'!$H$7*'5.Mira'!$C$17*'6.Cibernético'!$C$24*'6.Cibernético'!$D$23*'9.Simulação'!$K$8)+('7.Config'!$C$10*'4.Parâmetros_Verm'!$D$16*'4.Parâmetros_Verm'!$F$16*'4.Parâmetros_Verm'!$G$16*'4.Parâmetros_Verm'!$H$16*'5.Mira'!$C$18*'6.Cibernético'!$C$24*'6.Cibernético'!$D$23*'9.Simulação'!$L$8)+('7.Config'!$C$12*'4.Parâmetros_Verm'!$D$25*'4.Parâmetros_Verm'!$F$25*'4.Parâmetros_Verm'!$G$25*'4.Parâmetros_Verm'!$H$25*'5.Mira'!$C$19*'6.Cibernético'!$C$24*'6.Cibernético'!$D$23*'9.Simulação'!$M$8)+('7.Config'!$C$12*'4.Parâmetros_Verm'!$D$34*'4.Parâmetros_Verm'!$F$34*'4.Parâmetros_Verm'!$G$34*'4.Parâmetros_Verm'!$H$34*'5.Mira'!$C$20*'6.Cibernético'!$C$24*'6.Cibernético'!$D$23*'9.Simulação'!$N$8)+('7.Config'!$C$12*'4.Parâmetros_Verm'!$D$43*'4.Parâmetros_Verm'!$F$43*'4.Parâmetros_Verm'!$G$43*'4.Parâmetros_Verm'!$H$43*'5.Mira'!$C$21*'6.Cibernético'!$C$24*'6.Cibernético'!$D$23*'9.Simulação'!$O$8)</f>
        <v>0.99083923942774865</v>
      </c>
      <c r="E5" s="69">
        <f>('7.Config'!$C$10*'4.Parâmetros_Verm'!$D$7*'4.Parâmetros_Verm'!$F$7*'4.Parâmetros_Verm'!$G$7*'4.Parâmetros_Verm'!$H$7*'5.Mira'!$C$17*'6.Cibernético'!$C$24*'6.Cibernético'!$D$23*'9.Simulação'!$K$9)+('7.Config'!$C$10*'4.Parâmetros_Verm'!$D$16*'4.Parâmetros_Verm'!$F$16*'4.Parâmetros_Verm'!$G$16*'4.Parâmetros_Verm'!$H$16*'5.Mira'!$C$18*'6.Cibernético'!$C$24*'6.Cibernético'!$D$23*'9.Simulação'!$L$9)+('7.Config'!$C$12*'4.Parâmetros_Verm'!$D$25*'4.Parâmetros_Verm'!$F$25*'4.Parâmetros_Verm'!$G$25*'4.Parâmetros_Verm'!$H$25*'5.Mira'!$C$19*'6.Cibernético'!$C$24*'6.Cibernético'!$D$23*'9.Simulação'!$M$9)+('7.Config'!$C$12*'4.Parâmetros_Verm'!$D$34*'4.Parâmetros_Verm'!$F$34*'4.Parâmetros_Verm'!$G$34*'4.Parâmetros_Verm'!$H$34*'5.Mira'!$C$20*'6.Cibernético'!$C$24*'6.Cibernético'!$D$23*'9.Simulação'!$N$9)+('7.Config'!$C$12*'4.Parâmetros_Verm'!$D$43*'4.Parâmetros_Verm'!$F$43*'4.Parâmetros_Verm'!$G$43*'4.Parâmetros_Verm'!$H$43*'5.Mira'!$C$21*'6.Cibernético'!$C$24*'6.Cibernético'!$D$23*'9.Simulação'!$O$9)</f>
        <v>0.98720287220219627</v>
      </c>
      <c r="F5" s="69">
        <f>('7.Config'!$C$10*'4.Parâmetros_Verm'!$D$7*'4.Parâmetros_Verm'!$F$7*'4.Parâmetros_Verm'!$G$7*'4.Parâmetros_Verm'!$H$7*'5.Mira'!$C$17*'6.Cibernético'!$C$24*'6.Cibernético'!$D$23*'9.Simulação'!$K$10)+('7.Config'!$C$10*'4.Parâmetros_Verm'!$D$16*'4.Parâmetros_Verm'!$F$16*'4.Parâmetros_Verm'!$G$16*'4.Parâmetros_Verm'!$H$16*'5.Mira'!$C$18*'6.Cibernético'!$C$24*'6.Cibernético'!$D$23*'9.Simulação'!$L$10)+('7.Config'!$C$12*'4.Parâmetros_Verm'!$D$25*'4.Parâmetros_Verm'!$F$25*'4.Parâmetros_Verm'!$G$25*'4.Parâmetros_Verm'!$H$25*'5.Mira'!$C$19*'6.Cibernético'!$C$24*'6.Cibernético'!$D$23*'9.Simulação'!$M$10)+('7.Config'!$C$12*'4.Parâmetros_Verm'!$D$34*'4.Parâmetros_Verm'!$F$34*'4.Parâmetros_Verm'!$G$34*'4.Parâmetros_Verm'!$H$34*'5.Mira'!$C$20*'6.Cibernético'!$C$24*'6.Cibernético'!$D$23*'9.Simulação'!$N$10)+('7.Config'!$C$12*'4.Parâmetros_Verm'!$D$43*'4.Parâmetros_Verm'!$F$43*'4.Parâmetros_Verm'!$G$43*'4.Parâmetros_Verm'!$H$43*'5.Mira'!$C$21*'6.Cibernético'!$C$24*'6.Cibernético'!$D$23*'9.Simulação'!$O$10)</f>
        <v>0.98354280906296221</v>
      </c>
      <c r="G5" s="69">
        <f>('7.Config'!$C$10*'4.Parâmetros_Verm'!$D$7*'4.Parâmetros_Verm'!$F$7*'4.Parâmetros_Verm'!$G$7*'4.Parâmetros_Verm'!$H$7*'5.Mira'!$C$17*'6.Cibernético'!$C$24*'6.Cibernético'!$D$23*'9.Simulação'!$K$11)+('7.Config'!$C$10*'4.Parâmetros_Verm'!$D$16*'4.Parâmetros_Verm'!$F$16*'4.Parâmetros_Verm'!$G$16*'4.Parâmetros_Verm'!$H$16*'5.Mira'!$C$18*'6.Cibernético'!$C$24*'6.Cibernético'!$D$23*'9.Simulação'!$L$11)+('7.Config'!$C$12*'4.Parâmetros_Verm'!$D$25*'4.Parâmetros_Verm'!$F$25*'4.Parâmetros_Verm'!$G$25*'4.Parâmetros_Verm'!$H$25*'5.Mira'!$C$19*'6.Cibernético'!$C$24*'6.Cibernético'!$D$23*'9.Simulação'!$M$11)+('7.Config'!$C$12*'4.Parâmetros_Verm'!$D$34*'4.Parâmetros_Verm'!$F$34*'4.Parâmetros_Verm'!$G$34*'4.Parâmetros_Verm'!$H$34*'5.Mira'!$C$20*'6.Cibernético'!$C$24*'6.Cibernético'!$D$23*'9.Simulação'!$N$11)+('7.Config'!$C$12*'4.Parâmetros_Verm'!$D$43*'4.Parâmetros_Verm'!$F$43*'4.Parâmetros_Verm'!$G$43*'4.Parâmetros_Verm'!$H$43*'5.Mira'!$C$21*'6.Cibernético'!$C$24*'6.Cibernético'!$D$23*'9.Simulação'!$O$11)</f>
        <v>0.97985876940236916</v>
      </c>
      <c r="H5" s="69">
        <f>('7.Config'!$C$10*'4.Parâmetros_Verm'!$D$7*'4.Parâmetros_Verm'!$F$7*'4.Parâmetros_Verm'!$G$7*'4.Parâmetros_Verm'!$H$7*'5.Mira'!$C$17*'6.Cibernético'!$C$24*'6.Cibernético'!$D$23*'9.Simulação'!$K$12)+('7.Config'!$C$10*'4.Parâmetros_Verm'!$D$16*'4.Parâmetros_Verm'!$F$16*'4.Parâmetros_Verm'!$G$16*'4.Parâmetros_Verm'!$H$16*'5.Mira'!$C$18*'6.Cibernético'!$C$24*'6.Cibernético'!$D$23*'9.Simulação'!$L$12)+('7.Config'!$C$12*'4.Parâmetros_Verm'!$D$25*'4.Parâmetros_Verm'!$F$25*'4.Parâmetros_Verm'!$G$25*'4.Parâmetros_Verm'!$H$25*'5.Mira'!$C$19*'6.Cibernético'!$C$24*'6.Cibernético'!$D$23*'9.Simulação'!$M$12)+('7.Config'!$C$12*'4.Parâmetros_Verm'!$D$34*'4.Parâmetros_Verm'!$F$34*'4.Parâmetros_Verm'!$G$34*'4.Parâmetros_Verm'!$H$34*'5.Mira'!$C$20*'6.Cibernético'!$C$24*'6.Cibernético'!$D$23*'9.Simulação'!$N$12)+('7.Config'!$C$12*'4.Parâmetros_Verm'!$D$43*'4.Parâmetros_Verm'!$F$43*'4.Parâmetros_Verm'!$G$43*'4.Parâmetros_Verm'!$H$43*'5.Mira'!$C$21*'6.Cibernético'!$C$24*'6.Cibernético'!$D$23*'9.Simulação'!$O$12)</f>
        <v>0.97615047060214011</v>
      </c>
      <c r="I5" s="69">
        <f>('7.Config'!$C$10*'4.Parâmetros_Verm'!$D$7*'4.Parâmetros_Verm'!$F$7*'4.Parâmetros_Verm'!$G$7*'4.Parâmetros_Verm'!$H$7*'5.Mira'!$C$17*'6.Cibernético'!$C$24*'6.Cibernético'!$D$23*'9.Simulação'!$K$13)+('7.Config'!$C$10*'4.Parâmetros_Verm'!$D$16*'4.Parâmetros_Verm'!$F$16*'4.Parâmetros_Verm'!$G$16*'4.Parâmetros_Verm'!$H$16*'5.Mira'!$C$18*'6.Cibernético'!$C$24*'6.Cibernético'!$D$23*'9.Simulação'!$L$13)+('7.Config'!$C$12*'4.Parâmetros_Verm'!$D$25*'4.Parâmetros_Verm'!$F$25*'4.Parâmetros_Verm'!$G$25*'4.Parâmetros_Verm'!$H$25*'5.Mira'!$C$19*'6.Cibernético'!$C$24*'6.Cibernético'!$D$23*'9.Simulação'!$M$13)+('7.Config'!$C$12*'4.Parâmetros_Verm'!$D$34*'4.Parâmetros_Verm'!$F$34*'4.Parâmetros_Verm'!$G$34*'4.Parâmetros_Verm'!$H$34*'5.Mira'!$C$20*'6.Cibernético'!$C$24*'6.Cibernético'!$D$23*'9.Simulação'!$N$13)+('7.Config'!$C$12*'4.Parâmetros_Verm'!$D$43*'4.Parâmetros_Verm'!$F$43*'4.Parâmetros_Verm'!$G$43*'4.Parâmetros_Verm'!$H$43*'5.Mira'!$C$21*'6.Cibernético'!$C$24*'6.Cibernético'!$D$23*'9.Simulação'!$O$13)</f>
        <v>0.97241764196703395</v>
      </c>
      <c r="J5" s="69">
        <f>('7.Config'!$C$10*'4.Parâmetros_Verm'!$D$7*'4.Parâmetros_Verm'!$F$7*'4.Parâmetros_Verm'!$G$7*'4.Parâmetros_Verm'!$H$7*'5.Mira'!$C$17*'6.Cibernético'!$C$24*'6.Cibernético'!$D$23*'9.Simulação'!$K$14)+('7.Config'!$C$10*'4.Parâmetros_Verm'!$D$16*'4.Parâmetros_Verm'!$F$16*'4.Parâmetros_Verm'!$G$16*'4.Parâmetros_Verm'!$H$16*'5.Mira'!$C$18*'6.Cibernético'!$C$24*'6.Cibernético'!$D$23*'9.Simulação'!$L$14)+('7.Config'!$C$12*'4.Parâmetros_Verm'!$D$25*'4.Parâmetros_Verm'!$F$25*'4.Parâmetros_Verm'!$G$25*'4.Parâmetros_Verm'!$H$25*'5.Mira'!$C$19*'6.Cibernético'!$C$24*'6.Cibernético'!$D$23*'9.Simulação'!$M$14)+('7.Config'!$C$12*'4.Parâmetros_Verm'!$D$34*'4.Parâmetros_Verm'!$F$34*'4.Parâmetros_Verm'!$G$34*'4.Parâmetros_Verm'!$H$34*'5.Mira'!$C$20*'6.Cibernético'!$C$24*'6.Cibernético'!$D$23*'9.Simulação'!$N$14)+('7.Config'!$C$12*'4.Parâmetros_Verm'!$D$43*'4.Parâmetros_Verm'!$F$43*'4.Parâmetros_Verm'!$G$43*'4.Parâmetros_Verm'!$H$43*'5.Mira'!$C$21*'6.Cibernético'!$C$24*'6.Cibernético'!$D$23*'9.Simulação'!$O$14)</f>
        <v>0.96866000913121864</v>
      </c>
      <c r="K5" s="69">
        <f>('7.Config'!$C$10*'4.Parâmetros_Verm'!$D$7*'4.Parâmetros_Verm'!$F$7*'4.Parâmetros_Verm'!$G$7*'4.Parâmetros_Verm'!$H$7*'5.Mira'!$C$17*'6.Cibernético'!$C$24*'6.Cibernético'!$D$23*'9.Simulação'!$K$15)+('7.Config'!$C$10*'4.Parâmetros_Verm'!$D$16*'4.Parâmetros_Verm'!$F$16*'4.Parâmetros_Verm'!$G$16*'4.Parâmetros_Verm'!$H$16*'5.Mira'!$C$18*'6.Cibernético'!$C$24*'6.Cibernético'!$D$23*'9.Simulação'!$L$15)+('7.Config'!$C$12*'4.Parâmetros_Verm'!$D$25*'4.Parâmetros_Verm'!$F$25*'4.Parâmetros_Verm'!$G$25*'4.Parâmetros_Verm'!$H$25*'5.Mira'!$C$19*'6.Cibernético'!$C$24*'6.Cibernético'!$D$23*'9.Simulação'!$M$15)+('7.Config'!$C$12*'4.Parâmetros_Verm'!$D$34*'4.Parâmetros_Verm'!$F$34*'4.Parâmetros_Verm'!$G$34*'4.Parâmetros_Verm'!$H$34*'5.Mira'!$C$20*'6.Cibernético'!$C$24*'6.Cibernético'!$D$23*'9.Simulação'!$N$15)+('7.Config'!$C$12*'4.Parâmetros_Verm'!$D$43*'4.Parâmetros_Verm'!$F$43*'4.Parâmetros_Verm'!$G$43*'4.Parâmetros_Verm'!$H$43*'5.Mira'!$C$21*'6.Cibernético'!$C$24*'6.Cibernético'!$D$23*'9.Simulação'!$O$15)</f>
        <v>0.96487729400430744</v>
      </c>
      <c r="L5" s="69">
        <f>('7.Config'!$C$10*'4.Parâmetros_Verm'!$D$7*'4.Parâmetros_Verm'!$F$7*'4.Parâmetros_Verm'!$G$7*'4.Parâmetros_Verm'!$H$7*'5.Mira'!$C$17*'6.Cibernético'!$C$24*'6.Cibernético'!$D$23*'9.Simulação'!$K$16)+('7.Config'!$C$10*'4.Parâmetros_Verm'!$D$16*'4.Parâmetros_Verm'!$F$16*'4.Parâmetros_Verm'!$G$16*'4.Parâmetros_Verm'!$H$16*'5.Mira'!$C$18*'6.Cibernético'!$C$24*'6.Cibernético'!$D$23*'9.Simulação'!$L$16)+('7.Config'!$C$12*'4.Parâmetros_Verm'!$D$25*'4.Parâmetros_Verm'!$F$25*'4.Parâmetros_Verm'!$G$25*'4.Parâmetros_Verm'!$H$25*'5.Mira'!$C$19*'6.Cibernético'!$C$24*'6.Cibernético'!$D$23*'9.Simulação'!$M$16)+('7.Config'!$C$12*'4.Parâmetros_Verm'!$D$34*'4.Parâmetros_Verm'!$F$34*'4.Parâmetros_Verm'!$G$34*'4.Parâmetros_Verm'!$H$34*'5.Mira'!$C$20*'6.Cibernético'!$C$24*'6.Cibernético'!$D$23*'9.Simulação'!$N$16)+('7.Config'!$C$12*'4.Parâmetros_Verm'!$D$43*'4.Parâmetros_Verm'!$F$43*'4.Parâmetros_Verm'!$G$43*'4.Parâmetros_Verm'!$H$43*'5.Mira'!$C$21*'6.Cibernético'!$C$24*'6.Cibernético'!$D$23*'9.Simulação'!$O$16)</f>
        <v>0.96106921471657303</v>
      </c>
    </row>
    <row r="6" spans="1:12" x14ac:dyDescent="0.2">
      <c r="A6" s="68" t="s">
        <v>204</v>
      </c>
      <c r="B6" s="40" t="s">
        <v>82</v>
      </c>
      <c r="C6" s="69">
        <f>('7.Config'!$C$10*'4.Parâmetros_Verm'!$D$8*'4.Parâmetros_Verm'!$F$8*'4.Parâmetros_Verm'!$G$8*'4.Parâmetros_Verm'!$H$8*'5.Mira'!$D$17*'6.Cibernético'!$C$24*'6.Cibernético'!$D$23*'9.Simulação'!$K$7)+('7.Config'!$C$10*'4.Parâmetros_Verm'!$D$17*'4.Parâmetros_Verm'!$F$17*'4.Parâmetros_Verm'!$G$17*'4.Parâmetros_Verm'!$H$17*'5.Mira'!$D$18*'6.Cibernético'!$C$24*'6.Cibernético'!$D$23*'9.Simulação'!$L$7)+('7.Config'!$C$12*'4.Parâmetros_Verm'!$D$26*'4.Parâmetros_Verm'!$F$26*'4.Parâmetros_Verm'!$G$26*'4.Parâmetros_Verm'!$H$26*'5.Mira'!$D$19*'6.Cibernético'!$C$24*'6.Cibernético'!$D$23*'9.Simulação'!$M$7)+('7.Config'!$C$12*'4.Parâmetros_Verm'!$D$35*'4.Parâmetros_Verm'!$F$35*'4.Parâmetros_Verm'!$G$35*'4.Parâmetros_Verm'!$H$35*'5.Mira'!$D$20*'6.Cibernético'!$C$24*'6.Cibernético'!$D$23*'9.Simulação'!$N$7)+('7.Config'!$C$12*'4.Parâmetros_Verm'!$D$44*'4.Parâmetros_Verm'!$F$44*'4.Parâmetros_Verm'!$G$44*'4.Parâmetros_Verm'!$H$44*'5.Mira'!$D$21*'6.Cibernético'!$C$24*'6.Cibernético'!$D$23*'9.Simulação'!$O$7)</f>
        <v>0.99445218749999997</v>
      </c>
      <c r="D6" s="69">
        <f>('7.Config'!$C$10*'4.Parâmetros_Verm'!$D$8*'4.Parâmetros_Verm'!$F$8*'4.Parâmetros_Verm'!$G$8*'4.Parâmetros_Verm'!$H$8*'5.Mira'!$D$17*'6.Cibernético'!$C$24*'6.Cibernético'!$D$23*'9.Simulação'!$K$8)+('7.Config'!$C$10*'4.Parâmetros_Verm'!$D$17*'4.Parâmetros_Verm'!$F$17*'4.Parâmetros_Verm'!$G$17*'4.Parâmetros_Verm'!$H$17*'5.Mira'!$D$18*'6.Cibernético'!$C$24*'6.Cibernético'!$D$23*'9.Simulação'!$L$8)+('7.Config'!$C$12*'4.Parâmetros_Verm'!$D$26*'4.Parâmetros_Verm'!$F$26*'4.Parâmetros_Verm'!$G$26*'4.Parâmetros_Verm'!$H$26*'5.Mira'!$D$19*'6.Cibernético'!$C$24*'6.Cibernético'!$D$23*'9.Simulação'!$M$8)+('7.Config'!$C$12*'4.Parâmetros_Verm'!$D$35*'4.Parâmetros_Verm'!$F$35*'4.Parâmetros_Verm'!$G$35*'4.Parâmetros_Verm'!$H$35*'5.Mira'!$D$20*'6.Cibernético'!$C$24*'6.Cibernético'!$D$23*'9.Simulação'!$N$8)+('7.Config'!$C$12*'4.Parâmetros_Verm'!$D$44*'4.Parâmetros_Verm'!$F$44*'4.Parâmetros_Verm'!$G$44*'4.Parâmetros_Verm'!$H$44*'5.Mira'!$D$21*'6.Cibernético'!$C$24*'6.Cibernético'!$D$23*'9.Simulação'!$O$8)</f>
        <v>0.99083923942774865</v>
      </c>
      <c r="E6" s="69">
        <f>('7.Config'!$C$10*'4.Parâmetros_Verm'!$D$8*'4.Parâmetros_Verm'!$F$8*'4.Parâmetros_Verm'!$G$8*'4.Parâmetros_Verm'!$H$8*'5.Mira'!$D$17*'6.Cibernético'!$C$24*'6.Cibernético'!$D$23*'9.Simulação'!$K$9)+('7.Config'!$C$10*'4.Parâmetros_Verm'!$D$17*'4.Parâmetros_Verm'!$F$17*'4.Parâmetros_Verm'!$G$17*'4.Parâmetros_Verm'!$H$17*'5.Mira'!$D$18*'6.Cibernético'!$C$24*'6.Cibernético'!$D$23*'9.Simulação'!$L$9)+('7.Config'!$C$12*'4.Parâmetros_Verm'!$D$26*'4.Parâmetros_Verm'!$F$26*'4.Parâmetros_Verm'!$G$26*'4.Parâmetros_Verm'!$H$26*'5.Mira'!$D$19*'6.Cibernético'!$C$24*'6.Cibernético'!$D$23*'9.Simulação'!$M$9)+('7.Config'!$C$12*'4.Parâmetros_Verm'!$D$35*'4.Parâmetros_Verm'!$F$35*'4.Parâmetros_Verm'!$G$35*'4.Parâmetros_Verm'!$H$35*'5.Mira'!$D$20*'6.Cibernético'!$C$24*'6.Cibernético'!$D$23*'9.Simulação'!$N$9)+('7.Config'!$C$12*'4.Parâmetros_Verm'!$D$44*'4.Parâmetros_Verm'!$F$44*'4.Parâmetros_Verm'!$G$44*'4.Parâmetros_Verm'!$H$44*'5.Mira'!$D$21*'6.Cibernético'!$C$24*'6.Cibernético'!$D$23*'9.Simulação'!$O$9)</f>
        <v>0.98720287220219627</v>
      </c>
      <c r="F6" s="69">
        <f>('7.Config'!$C$10*'4.Parâmetros_Verm'!$D$8*'4.Parâmetros_Verm'!$F$8*'4.Parâmetros_Verm'!$G$8*'4.Parâmetros_Verm'!$H$8*'5.Mira'!$D$17*'6.Cibernético'!$C$24*'6.Cibernético'!$D$23*'9.Simulação'!$K$10)+('7.Config'!$C$10*'4.Parâmetros_Verm'!$D$17*'4.Parâmetros_Verm'!$F$17*'4.Parâmetros_Verm'!$G$17*'4.Parâmetros_Verm'!$H$17*'5.Mira'!$D$18*'6.Cibernético'!$C$24*'6.Cibernético'!$D$23*'9.Simulação'!$L$10)+('7.Config'!$C$12*'4.Parâmetros_Verm'!$D$26*'4.Parâmetros_Verm'!$F$26*'4.Parâmetros_Verm'!$G$26*'4.Parâmetros_Verm'!$H$26*'5.Mira'!$D$19*'6.Cibernético'!$C$24*'6.Cibernético'!$D$23*'9.Simulação'!$M$10)+('7.Config'!$C$12*'4.Parâmetros_Verm'!$D$35*'4.Parâmetros_Verm'!$F$35*'4.Parâmetros_Verm'!$G$35*'4.Parâmetros_Verm'!$H$35*'5.Mira'!$D$20*'6.Cibernético'!$C$24*'6.Cibernético'!$D$23*'9.Simulação'!$N$10)+('7.Config'!$C$12*'4.Parâmetros_Verm'!$D$44*'4.Parâmetros_Verm'!$F$44*'4.Parâmetros_Verm'!$G$44*'4.Parâmetros_Verm'!$H$44*'5.Mira'!$D$21*'6.Cibernético'!$C$24*'6.Cibernético'!$D$23*'9.Simulação'!$O$10)</f>
        <v>0.98354280906296221</v>
      </c>
      <c r="G6" s="69">
        <f>('7.Config'!$C$10*'4.Parâmetros_Verm'!$D$8*'4.Parâmetros_Verm'!$F$8*'4.Parâmetros_Verm'!$G$8*'4.Parâmetros_Verm'!$H$8*'5.Mira'!$D$17*'6.Cibernético'!$C$24*'6.Cibernético'!$D$23*'9.Simulação'!$K$11)+('7.Config'!$C$10*'4.Parâmetros_Verm'!$D$17*'4.Parâmetros_Verm'!$F$17*'4.Parâmetros_Verm'!$G$17*'4.Parâmetros_Verm'!$H$17*'5.Mira'!$D$18*'6.Cibernético'!$C$24*'6.Cibernético'!$D$23*'9.Simulação'!$L$11)+('7.Config'!$C$12*'4.Parâmetros_Verm'!$D$26*'4.Parâmetros_Verm'!$F$26*'4.Parâmetros_Verm'!$G$26*'4.Parâmetros_Verm'!$H$26*'5.Mira'!$D$19*'6.Cibernético'!$C$24*'6.Cibernético'!$D$23*'9.Simulação'!$M$11)+('7.Config'!$C$12*'4.Parâmetros_Verm'!$D$35*'4.Parâmetros_Verm'!$F$35*'4.Parâmetros_Verm'!$G$35*'4.Parâmetros_Verm'!$H$35*'5.Mira'!$D$20*'6.Cibernético'!$C$24*'6.Cibernético'!$D$23*'9.Simulação'!$N$11)+('7.Config'!$C$12*'4.Parâmetros_Verm'!$D$44*'4.Parâmetros_Verm'!$F$44*'4.Parâmetros_Verm'!$G$44*'4.Parâmetros_Verm'!$H$44*'5.Mira'!$D$21*'6.Cibernético'!$C$24*'6.Cibernético'!$D$23*'9.Simulação'!$O$11)</f>
        <v>0.97985876940236916</v>
      </c>
      <c r="H6" s="69">
        <f>('7.Config'!$C$10*'4.Parâmetros_Verm'!$D$8*'4.Parâmetros_Verm'!$F$8*'4.Parâmetros_Verm'!$G$8*'4.Parâmetros_Verm'!$H$8*'5.Mira'!$D$17*'6.Cibernético'!$C$24*'6.Cibernético'!$D$23*'9.Simulação'!$K$12)+('7.Config'!$C$10*'4.Parâmetros_Verm'!$D$17*'4.Parâmetros_Verm'!$F$17*'4.Parâmetros_Verm'!$G$17*'4.Parâmetros_Verm'!$H$17*'5.Mira'!$D$18*'6.Cibernético'!$C$24*'6.Cibernético'!$D$23*'9.Simulação'!$L$12)+('7.Config'!$C$12*'4.Parâmetros_Verm'!$D$26*'4.Parâmetros_Verm'!$F$26*'4.Parâmetros_Verm'!$G$26*'4.Parâmetros_Verm'!$H$26*'5.Mira'!$D$19*'6.Cibernético'!$C$24*'6.Cibernético'!$D$23*'9.Simulação'!$M$12)+('7.Config'!$C$12*'4.Parâmetros_Verm'!$D$35*'4.Parâmetros_Verm'!$F$35*'4.Parâmetros_Verm'!$G$35*'4.Parâmetros_Verm'!$H$35*'5.Mira'!$D$20*'6.Cibernético'!$C$24*'6.Cibernético'!$D$23*'9.Simulação'!$N$12)+('7.Config'!$C$12*'4.Parâmetros_Verm'!$D$44*'4.Parâmetros_Verm'!$F$44*'4.Parâmetros_Verm'!$G$44*'4.Parâmetros_Verm'!$H$44*'5.Mira'!$D$21*'6.Cibernético'!$C$24*'6.Cibernético'!$D$23*'9.Simulação'!$O$12)</f>
        <v>0.97615047060214011</v>
      </c>
      <c r="I6" s="69">
        <f>('7.Config'!$C$10*'4.Parâmetros_Verm'!$D$8*'4.Parâmetros_Verm'!$F$8*'4.Parâmetros_Verm'!$G$8*'4.Parâmetros_Verm'!$H$8*'5.Mira'!$D$17*'6.Cibernético'!$C$24*'6.Cibernético'!$D$23*'9.Simulação'!$K$13)+('7.Config'!$C$10*'4.Parâmetros_Verm'!$D$17*'4.Parâmetros_Verm'!$F$17*'4.Parâmetros_Verm'!$G$17*'4.Parâmetros_Verm'!$H$17*'5.Mira'!$D$18*'6.Cibernético'!$C$24*'6.Cibernético'!$D$23*'9.Simulação'!$L$13)+('7.Config'!$C$12*'4.Parâmetros_Verm'!$D$26*'4.Parâmetros_Verm'!$F$26*'4.Parâmetros_Verm'!$G$26*'4.Parâmetros_Verm'!$H$26*'5.Mira'!$D$19*'6.Cibernético'!$C$24*'6.Cibernético'!$D$23*'9.Simulação'!$M$13)+('7.Config'!$C$12*'4.Parâmetros_Verm'!$D$35*'4.Parâmetros_Verm'!$F$35*'4.Parâmetros_Verm'!$G$35*'4.Parâmetros_Verm'!$H$35*'5.Mira'!$D$20*'6.Cibernético'!$C$24*'6.Cibernético'!$D$23*'9.Simulação'!$N$13)+('7.Config'!$C$12*'4.Parâmetros_Verm'!$D$44*'4.Parâmetros_Verm'!$F$44*'4.Parâmetros_Verm'!$G$44*'4.Parâmetros_Verm'!$H$44*'5.Mira'!$D$21*'6.Cibernético'!$C$24*'6.Cibernético'!$D$23*'9.Simulação'!$O$13)</f>
        <v>0.97241764196703395</v>
      </c>
      <c r="J6" s="69">
        <f>('7.Config'!$C$10*'4.Parâmetros_Verm'!$D$8*'4.Parâmetros_Verm'!$F$8*'4.Parâmetros_Verm'!$G$8*'4.Parâmetros_Verm'!$H$8*'5.Mira'!$D$17*'6.Cibernético'!$C$24*'6.Cibernético'!$D$23*'9.Simulação'!$K$14)+('7.Config'!$C$10*'4.Parâmetros_Verm'!$D$17*'4.Parâmetros_Verm'!$F$17*'4.Parâmetros_Verm'!$G$17*'4.Parâmetros_Verm'!$H$17*'5.Mira'!$D$18*'6.Cibernético'!$C$24*'6.Cibernético'!$D$23*'9.Simulação'!$L$14)+('7.Config'!$C$12*'4.Parâmetros_Verm'!$D$26*'4.Parâmetros_Verm'!$F$26*'4.Parâmetros_Verm'!$G$26*'4.Parâmetros_Verm'!$H$26*'5.Mira'!$D$19*'6.Cibernético'!$C$24*'6.Cibernético'!$D$23*'9.Simulação'!$M$14)+('7.Config'!$C$12*'4.Parâmetros_Verm'!$D$35*'4.Parâmetros_Verm'!$F$35*'4.Parâmetros_Verm'!$G$35*'4.Parâmetros_Verm'!$H$35*'5.Mira'!$D$20*'6.Cibernético'!$C$24*'6.Cibernético'!$D$23*'9.Simulação'!$N$14)+('7.Config'!$C$12*'4.Parâmetros_Verm'!$D$44*'4.Parâmetros_Verm'!$F$44*'4.Parâmetros_Verm'!$G$44*'4.Parâmetros_Verm'!$H$44*'5.Mira'!$D$21*'6.Cibernético'!$C$24*'6.Cibernético'!$D$23*'9.Simulação'!$O$14)</f>
        <v>0.96866000913121864</v>
      </c>
      <c r="K6" s="69">
        <f>('7.Config'!$C$10*'4.Parâmetros_Verm'!$D$8*'4.Parâmetros_Verm'!$F$8*'4.Parâmetros_Verm'!$G$8*'4.Parâmetros_Verm'!$H$8*'5.Mira'!$D$17*'6.Cibernético'!$C$24*'6.Cibernético'!$D$23*'9.Simulação'!$K$15)+('7.Config'!$C$10*'4.Parâmetros_Verm'!$D$17*'4.Parâmetros_Verm'!$F$17*'4.Parâmetros_Verm'!$G$17*'4.Parâmetros_Verm'!$H$17*'5.Mira'!$D$18*'6.Cibernético'!$C$24*'6.Cibernético'!$D$23*'9.Simulação'!$L$15)+('7.Config'!$C$12*'4.Parâmetros_Verm'!$D$26*'4.Parâmetros_Verm'!$F$26*'4.Parâmetros_Verm'!$G$26*'4.Parâmetros_Verm'!$H$26*'5.Mira'!$D$19*'6.Cibernético'!$C$24*'6.Cibernético'!$D$23*'9.Simulação'!$M$15)+('7.Config'!$C$12*'4.Parâmetros_Verm'!$D$35*'4.Parâmetros_Verm'!$F$35*'4.Parâmetros_Verm'!$G$35*'4.Parâmetros_Verm'!$H$35*'5.Mira'!$D$20*'6.Cibernético'!$C$24*'6.Cibernético'!$D$23*'9.Simulação'!$N$15)+('7.Config'!$C$12*'4.Parâmetros_Verm'!$D$44*'4.Parâmetros_Verm'!$F$44*'4.Parâmetros_Verm'!$G$44*'4.Parâmetros_Verm'!$H$44*'5.Mira'!$D$21*'6.Cibernético'!$C$24*'6.Cibernético'!$D$23*'9.Simulação'!$O$15)</f>
        <v>0.96487729400430744</v>
      </c>
      <c r="L6" s="69">
        <f>('7.Config'!$C$10*'4.Parâmetros_Verm'!$D$8*'4.Parâmetros_Verm'!$F$8*'4.Parâmetros_Verm'!$G$8*'4.Parâmetros_Verm'!$H$8*'5.Mira'!$D$17*'6.Cibernético'!$C$24*'6.Cibernético'!$D$23*'9.Simulação'!$K$16)+('7.Config'!$C$10*'4.Parâmetros_Verm'!$D$17*'4.Parâmetros_Verm'!$F$17*'4.Parâmetros_Verm'!$G$17*'4.Parâmetros_Verm'!$H$17*'5.Mira'!$D$18*'6.Cibernético'!$C$24*'6.Cibernético'!$D$23*'9.Simulação'!$L$16)+('7.Config'!$C$12*'4.Parâmetros_Verm'!$D$26*'4.Parâmetros_Verm'!$F$26*'4.Parâmetros_Verm'!$G$26*'4.Parâmetros_Verm'!$H$26*'5.Mira'!$D$19*'6.Cibernético'!$C$24*'6.Cibernético'!$D$23*'9.Simulação'!$M$16)+('7.Config'!$C$12*'4.Parâmetros_Verm'!$D$35*'4.Parâmetros_Verm'!$F$35*'4.Parâmetros_Verm'!$G$35*'4.Parâmetros_Verm'!$H$35*'5.Mira'!$D$20*'6.Cibernético'!$C$24*'6.Cibernético'!$D$23*'9.Simulação'!$N$16)+('7.Config'!$C$12*'4.Parâmetros_Verm'!$D$44*'4.Parâmetros_Verm'!$F$44*'4.Parâmetros_Verm'!$G$44*'4.Parâmetros_Verm'!$H$44*'5.Mira'!$D$21*'6.Cibernético'!$C$24*'6.Cibernético'!$D$23*'9.Simulação'!$O$16)</f>
        <v>0.96106921471657303</v>
      </c>
    </row>
    <row r="7" spans="1:12" x14ac:dyDescent="0.2">
      <c r="A7" s="68" t="s">
        <v>204</v>
      </c>
      <c r="B7" s="40" t="s">
        <v>84</v>
      </c>
      <c r="C7" s="69">
        <f>('7.Config'!$D$10*'4.Parâmetros_Verm'!$D$9*'4.Parâmetros_Verm'!$F$9*'4.Parâmetros_Verm'!$G$9*'4.Parâmetros_Verm'!$H$9*'5.Mira'!$E$17*'6.Cibernético'!$C$24*'6.Cibernético'!$D$25*'9.Simulação'!$K$7)+('7.Config'!$D$10*'4.Parâmetros_Verm'!$D$18*'4.Parâmetros_Verm'!$F$18*'4.Parâmetros_Verm'!$G$18*'4.Parâmetros_Verm'!$H$18*'5.Mira'!$E$18*'6.Cibernético'!$C$24*'6.Cibernético'!$D$25*'9.Simulação'!$L$7)+('7.Config'!$D$12*'4.Parâmetros_Verm'!$D$27*'4.Parâmetros_Verm'!$F$27*'4.Parâmetros_Verm'!$G$27*'4.Parâmetros_Verm'!$H$27*'5.Mira'!$E$19*'6.Cibernético'!$C$24*'6.Cibernético'!$D$25*'9.Simulação'!$M$7)+('7.Config'!$D$12*'4.Parâmetros_Verm'!$D$36*'4.Parâmetros_Verm'!$F$36*'4.Parâmetros_Verm'!$G$36*'4.Parâmetros_Verm'!$H$36*'5.Mira'!$E$20*'6.Cibernético'!$C$24*'6.Cibernético'!$D$25*'9.Simulação'!$N$7)+('7.Config'!$D$12*'4.Parâmetros_Verm'!$D$45*'4.Parâmetros_Verm'!$F$45*'4.Parâmetros_Verm'!$G$45*'4.Parâmetros_Verm'!$H$45*'5.Mira'!$E$21*'6.Cibernético'!$C$24*'6.Cibernético'!$D$25*'9.Simulação'!$O$7)</f>
        <v>0.13150500000000004</v>
      </c>
      <c r="D7" s="69">
        <f>('7.Config'!$D$10*'4.Parâmetros_Verm'!$D$9*'4.Parâmetros_Verm'!$F$9*'4.Parâmetros_Verm'!$G$9*'4.Parâmetros_Verm'!$H$9*'5.Mira'!$E$17*'6.Cibernético'!$C$24*'6.Cibernético'!$D$25*'9.Simulação'!$K$8)+('7.Config'!$D$10*'4.Parâmetros_Verm'!$D$18*'4.Parâmetros_Verm'!$F$18*'4.Parâmetros_Verm'!$G$18*'4.Parâmetros_Verm'!$H$18*'5.Mira'!$E$18*'6.Cibernético'!$C$24*'6.Cibernético'!$D$25*'9.Simulação'!$L$8)+('7.Config'!$D$12*'4.Parâmetros_Verm'!$D$27*'4.Parâmetros_Verm'!$F$27*'4.Parâmetros_Verm'!$G$27*'4.Parâmetros_Verm'!$H$27*'5.Mira'!$E$19*'6.Cibernético'!$C$24*'6.Cibernético'!$D$25*'9.Simulação'!$M$8)+('7.Config'!$D$12*'4.Parâmetros_Verm'!$D$36*'4.Parâmetros_Verm'!$F$36*'4.Parâmetros_Verm'!$G$36*'4.Parâmetros_Verm'!$H$36*'5.Mira'!$E$20*'6.Cibernético'!$C$24*'6.Cibernético'!$D$25*'9.Simulação'!$N$8)+('7.Config'!$D$12*'4.Parâmetros_Verm'!$D$45*'4.Parâmetros_Verm'!$F$45*'4.Parâmetros_Verm'!$G$45*'4.Parâmetros_Verm'!$H$45*'5.Mira'!$E$21*'6.Cibernético'!$C$24*'6.Cibernético'!$D$25*'9.Simulação'!$O$8)</f>
        <v>0.1308095074960916</v>
      </c>
      <c r="E7" s="69">
        <f>('7.Config'!$D$10*'4.Parâmetros_Verm'!$D$9*'4.Parâmetros_Verm'!$F$9*'4.Parâmetros_Verm'!$G$9*'4.Parâmetros_Verm'!$H$9*'5.Mira'!$E$17*'6.Cibernético'!$C$24*'6.Cibernético'!$D$25*'9.Simulação'!$K$9)+('7.Config'!$D$10*'4.Parâmetros_Verm'!$D$18*'4.Parâmetros_Verm'!$F$18*'4.Parâmetros_Verm'!$G$18*'4.Parâmetros_Verm'!$H$18*'5.Mira'!$E$18*'6.Cibernético'!$C$24*'6.Cibernético'!$D$25*'9.Simulação'!$L$9)+('7.Config'!$D$12*'4.Parâmetros_Verm'!$D$27*'4.Parâmetros_Verm'!$F$27*'4.Parâmetros_Verm'!$G$27*'4.Parâmetros_Verm'!$H$27*'5.Mira'!$E$19*'6.Cibernético'!$C$24*'6.Cibernético'!$D$25*'9.Simulação'!$M$9)+('7.Config'!$D$12*'4.Parâmetros_Verm'!$D$36*'4.Parâmetros_Verm'!$F$36*'4.Parâmetros_Verm'!$G$36*'4.Parâmetros_Verm'!$H$36*'5.Mira'!$E$20*'6.Cibernético'!$C$24*'6.Cibernético'!$D$25*'9.Simulação'!$N$9)+('7.Config'!$D$12*'4.Parâmetros_Verm'!$D$45*'4.Parâmetros_Verm'!$F$45*'4.Parâmetros_Verm'!$G$45*'4.Parâmetros_Verm'!$H$45*'5.Mira'!$E$21*'6.Cibernético'!$C$24*'6.Cibernético'!$D$25*'9.Simulação'!$O$9)</f>
        <v>0.1301095068051728</v>
      </c>
      <c r="F7" s="69">
        <f>('7.Config'!$D$10*'4.Parâmetros_Verm'!$D$9*'4.Parâmetros_Verm'!$F$9*'4.Parâmetros_Verm'!$G$9*'4.Parâmetros_Verm'!$H$9*'5.Mira'!$E$17*'6.Cibernético'!$C$24*'6.Cibernético'!$D$25*'9.Simulação'!$K$10)+('7.Config'!$D$10*'4.Parâmetros_Verm'!$D$18*'4.Parâmetros_Verm'!$F$18*'4.Parâmetros_Verm'!$G$18*'4.Parâmetros_Verm'!$H$18*'5.Mira'!$E$18*'6.Cibernético'!$C$24*'6.Cibernético'!$D$25*'9.Simulação'!$L$10)+('7.Config'!$D$12*'4.Parâmetros_Verm'!$D$27*'4.Parâmetros_Verm'!$F$27*'4.Parâmetros_Verm'!$G$27*'4.Parâmetros_Verm'!$H$27*'5.Mira'!$E$19*'6.Cibernético'!$C$24*'6.Cibernético'!$D$25*'9.Simulação'!$M$10)+('7.Config'!$D$12*'4.Parâmetros_Verm'!$D$36*'4.Parâmetros_Verm'!$F$36*'4.Parâmetros_Verm'!$G$36*'4.Parâmetros_Verm'!$H$36*'5.Mira'!$E$20*'6.Cibernético'!$C$24*'6.Cibernético'!$D$25*'9.Simulação'!$N$10)+('7.Config'!$D$12*'4.Parâmetros_Verm'!$D$45*'4.Parâmetros_Verm'!$F$45*'4.Parâmetros_Verm'!$G$45*'4.Parâmetros_Verm'!$H$45*'5.Mira'!$E$21*'6.Cibernético'!$C$24*'6.Cibernético'!$D$25*'9.Simulação'!$O$10)</f>
        <v>0.12940494465087021</v>
      </c>
      <c r="G7" s="69">
        <f>('7.Config'!$D$10*'4.Parâmetros_Verm'!$D$9*'4.Parâmetros_Verm'!$F$9*'4.Parâmetros_Verm'!$G$9*'4.Parâmetros_Verm'!$H$9*'5.Mira'!$E$17*'6.Cibernético'!$C$24*'6.Cibernético'!$D$25*'9.Simulação'!$K$11)+('7.Config'!$D$10*'4.Parâmetros_Verm'!$D$18*'4.Parâmetros_Verm'!$F$18*'4.Parâmetros_Verm'!$G$18*'4.Parâmetros_Verm'!$H$18*'5.Mira'!$E$18*'6.Cibernético'!$C$24*'6.Cibernético'!$D$25*'9.Simulação'!$L$11)+('7.Config'!$D$12*'4.Parâmetros_Verm'!$D$27*'4.Parâmetros_Verm'!$F$27*'4.Parâmetros_Verm'!$G$27*'4.Parâmetros_Verm'!$H$27*'5.Mira'!$E$19*'6.Cibernético'!$C$24*'6.Cibernético'!$D$25*'9.Simulação'!$M$11)+('7.Config'!$D$12*'4.Parâmetros_Verm'!$D$36*'4.Parâmetros_Verm'!$F$36*'4.Parâmetros_Verm'!$G$36*'4.Parâmetros_Verm'!$H$36*'5.Mira'!$E$20*'6.Cibernético'!$C$24*'6.Cibernético'!$D$25*'9.Simulação'!$N$11)+('7.Config'!$D$12*'4.Parâmetros_Verm'!$D$45*'4.Parâmetros_Verm'!$F$45*'4.Parâmetros_Verm'!$G$45*'4.Parâmetros_Verm'!$H$45*'5.Mira'!$E$21*'6.Cibernético'!$C$24*'6.Cibernético'!$D$25*'9.Simulação'!$O$11)</f>
        <v>0.12869576701620605</v>
      </c>
      <c r="H7" s="69">
        <f>('7.Config'!$D$10*'4.Parâmetros_Verm'!$D$9*'4.Parâmetros_Verm'!$F$9*'4.Parâmetros_Verm'!$G$9*'4.Parâmetros_Verm'!$H$9*'5.Mira'!$E$17*'6.Cibernético'!$C$24*'6.Cibernético'!$D$25*'9.Simulação'!$K$12)+('7.Config'!$D$10*'4.Parâmetros_Verm'!$D$18*'4.Parâmetros_Verm'!$F$18*'4.Parâmetros_Verm'!$G$18*'4.Parâmetros_Verm'!$H$18*'5.Mira'!$E$18*'6.Cibernético'!$C$24*'6.Cibernético'!$D$25*'9.Simulação'!$L$12)+('7.Config'!$D$12*'4.Parâmetros_Verm'!$D$27*'4.Parâmetros_Verm'!$F$27*'4.Parâmetros_Verm'!$G$27*'4.Parâmetros_Verm'!$H$27*'5.Mira'!$E$19*'6.Cibernético'!$C$24*'6.Cibernético'!$D$25*'9.Simulação'!$M$12)+('7.Config'!$D$12*'4.Parâmetros_Verm'!$D$36*'4.Parâmetros_Verm'!$F$36*'4.Parâmetros_Verm'!$G$36*'4.Parâmetros_Verm'!$H$36*'5.Mira'!$E$20*'6.Cibernético'!$C$24*'6.Cibernético'!$D$25*'9.Simulação'!$N$12)+('7.Config'!$D$12*'4.Parâmetros_Verm'!$D$45*'4.Parâmetros_Verm'!$F$45*'4.Parâmetros_Verm'!$G$45*'4.Parâmetros_Verm'!$H$45*'5.Mira'!$E$21*'6.Cibernético'!$C$24*'6.Cibernético'!$D$25*'9.Simulação'!$O$12)</f>
        <v>0.12798191949716198</v>
      </c>
      <c r="I7" s="69">
        <f>('7.Config'!$D$10*'4.Parâmetros_Verm'!$D$9*'4.Parâmetros_Verm'!$F$9*'4.Parâmetros_Verm'!$G$9*'4.Parâmetros_Verm'!$H$9*'5.Mira'!$E$17*'6.Cibernético'!$C$24*'6.Cibernético'!$D$25*'9.Simulação'!$K$13)+('7.Config'!$D$10*'4.Parâmetros_Verm'!$D$18*'4.Parâmetros_Verm'!$F$18*'4.Parâmetros_Verm'!$G$18*'4.Parâmetros_Verm'!$H$18*'5.Mira'!$E$18*'6.Cibernético'!$C$24*'6.Cibernético'!$D$25*'9.Simulação'!$L$13)+('7.Config'!$D$12*'4.Parâmetros_Verm'!$D$27*'4.Parâmetros_Verm'!$F$27*'4.Parâmetros_Verm'!$G$27*'4.Parâmetros_Verm'!$H$27*'5.Mira'!$E$19*'6.Cibernético'!$C$24*'6.Cibernético'!$D$25*'9.Simulação'!$M$13)+('7.Config'!$D$12*'4.Parâmetros_Verm'!$D$36*'4.Parâmetros_Verm'!$F$36*'4.Parâmetros_Verm'!$G$36*'4.Parâmetros_Verm'!$H$36*'5.Mira'!$E$20*'6.Cibernético'!$C$24*'6.Cibernético'!$D$25*'9.Simulação'!$N$13)+('7.Config'!$D$12*'4.Parâmetros_Verm'!$D$45*'4.Parâmetros_Verm'!$F$45*'4.Parâmetros_Verm'!$G$45*'4.Parâmetros_Verm'!$H$45*'5.Mira'!$E$21*'6.Cibernético'!$C$24*'6.Cibernético'!$D$25*'9.Simulação'!$O$13)</f>
        <v>0.12726334998490402</v>
      </c>
      <c r="J7" s="69">
        <f>('7.Config'!$D$10*'4.Parâmetros_Verm'!$D$9*'4.Parâmetros_Verm'!$F$9*'4.Parâmetros_Verm'!$G$9*'4.Parâmetros_Verm'!$H$9*'5.Mira'!$E$17*'6.Cibernético'!$C$24*'6.Cibernético'!$D$25*'9.Simulação'!$K$14)+('7.Config'!$D$10*'4.Parâmetros_Verm'!$D$18*'4.Parâmetros_Verm'!$F$18*'4.Parâmetros_Verm'!$G$18*'4.Parâmetros_Verm'!$H$18*'5.Mira'!$E$18*'6.Cibernético'!$C$24*'6.Cibernético'!$D$25*'9.Simulação'!$L$14)+('7.Config'!$D$12*'4.Parâmetros_Verm'!$D$27*'4.Parâmetros_Verm'!$F$27*'4.Parâmetros_Verm'!$G$27*'4.Parâmetros_Verm'!$H$27*'5.Mira'!$E$19*'6.Cibernético'!$C$24*'6.Cibernético'!$D$25*'9.Simulação'!$M$14)+('7.Config'!$D$12*'4.Parâmetros_Verm'!$D$36*'4.Parâmetros_Verm'!$F$36*'4.Parâmetros_Verm'!$G$36*'4.Parâmetros_Verm'!$H$36*'5.Mira'!$E$20*'6.Cibernético'!$C$24*'6.Cibernético'!$D$25*'9.Simulação'!$N$14)+('7.Config'!$D$12*'4.Parâmetros_Verm'!$D$45*'4.Parâmetros_Verm'!$F$45*'4.Parâmetros_Verm'!$G$45*'4.Parâmetros_Verm'!$H$45*'5.Mira'!$E$21*'6.Cibernético'!$C$24*'6.Cibernético'!$D$25*'9.Simulação'!$O$14)</f>
        <v>0.12654000566400964</v>
      </c>
      <c r="K7" s="69">
        <f>('7.Config'!$D$10*'4.Parâmetros_Verm'!$D$9*'4.Parâmetros_Verm'!$F$9*'4.Parâmetros_Verm'!$G$9*'4.Parâmetros_Verm'!$H$9*'5.Mira'!$E$17*'6.Cibernético'!$C$24*'6.Cibernético'!$D$25*'9.Simulação'!$K$15)+('7.Config'!$D$10*'4.Parâmetros_Verm'!$D$18*'4.Parâmetros_Verm'!$F$18*'4.Parâmetros_Verm'!$G$18*'4.Parâmetros_Verm'!$H$18*'5.Mira'!$E$18*'6.Cibernético'!$C$24*'6.Cibernético'!$D$25*'9.Simulação'!$L$15)+('7.Config'!$D$12*'4.Parâmetros_Verm'!$D$27*'4.Parâmetros_Verm'!$F$27*'4.Parâmetros_Verm'!$G$27*'4.Parâmetros_Verm'!$H$27*'5.Mira'!$E$19*'6.Cibernético'!$C$24*'6.Cibernético'!$D$25*'9.Simulação'!$M$15)+('7.Config'!$D$12*'4.Parâmetros_Verm'!$D$36*'4.Parâmetros_Verm'!$F$36*'4.Parâmetros_Verm'!$G$36*'4.Parâmetros_Verm'!$H$36*'5.Mira'!$E$20*'6.Cibernético'!$C$24*'6.Cibernético'!$D$25*'9.Simulação'!$N$15)+('7.Config'!$D$12*'4.Parâmetros_Verm'!$D$45*'4.Parâmetros_Verm'!$F$45*'4.Parâmetros_Verm'!$G$45*'4.Parâmetros_Verm'!$H$45*'5.Mira'!$E$21*'6.Cibernético'!$C$24*'6.Cibernético'!$D$25*'9.Simulação'!$O$15)</f>
        <v>0.12581183300207921</v>
      </c>
      <c r="L7" s="69">
        <f>('7.Config'!$D$10*'4.Parâmetros_Verm'!$D$9*'4.Parâmetros_Verm'!$F$9*'4.Parâmetros_Verm'!$G$9*'4.Parâmetros_Verm'!$H$9*'5.Mira'!$E$17*'6.Cibernético'!$C$24*'6.Cibernético'!$D$25*'9.Simulação'!$K$16)+('7.Config'!$D$10*'4.Parâmetros_Verm'!$D$18*'4.Parâmetros_Verm'!$F$18*'4.Parâmetros_Verm'!$G$18*'4.Parâmetros_Verm'!$H$18*'5.Mira'!$E$18*'6.Cibernético'!$C$24*'6.Cibernético'!$D$25*'9.Simulação'!$L$16)+('7.Config'!$D$12*'4.Parâmetros_Verm'!$D$27*'4.Parâmetros_Verm'!$F$27*'4.Parâmetros_Verm'!$G$27*'4.Parâmetros_Verm'!$H$27*'5.Mira'!$E$19*'6.Cibernético'!$C$24*'6.Cibernético'!$D$25*'9.Simulação'!$M$16)+('7.Config'!$D$12*'4.Parâmetros_Verm'!$D$36*'4.Parâmetros_Verm'!$F$36*'4.Parâmetros_Verm'!$G$36*'4.Parâmetros_Verm'!$H$36*'5.Mira'!$E$20*'6.Cibernético'!$C$24*'6.Cibernético'!$D$25*'9.Simulação'!$N$16)+('7.Config'!$D$12*'4.Parâmetros_Verm'!$D$45*'4.Parâmetros_Verm'!$F$45*'4.Parâmetros_Verm'!$G$45*'4.Parâmetros_Verm'!$H$45*'5.Mira'!$E$21*'6.Cibernético'!$C$24*'6.Cibernético'!$D$25*'9.Simulação'!$O$16)</f>
        <v>0.12507877773919035</v>
      </c>
    </row>
    <row r="8" spans="1:12" x14ac:dyDescent="0.2">
      <c r="A8" s="68" t="s">
        <v>204</v>
      </c>
      <c r="B8" s="40" t="s">
        <v>88</v>
      </c>
      <c r="C8" s="69">
        <f>('7.Config'!$E$10*'4.Parâmetros_Verm'!$D$10*'4.Parâmetros_Verm'!$F$10*'4.Parâmetros_Verm'!$G$10*'4.Parâmetros_Verm'!$H$10*'5.Mira'!$F$17*'6.Cibernético'!$C$24*'6.Cibernético'!$D$23*'9.Simulação'!$K$7)+('7.Config'!$E$10*'4.Parâmetros_Verm'!$D$19*'4.Parâmetros_Verm'!$F$19*'4.Parâmetros_Verm'!$G$19*'4.Parâmetros_Verm'!$H$19*'5.Mira'!$F$18*'6.Cibernético'!$C$24*'6.Cibernético'!$D$23*'9.Simulação'!$L$7)+('7.Config'!$E$12*'4.Parâmetros_Verm'!$D$28*'4.Parâmetros_Verm'!$F$28*'4.Parâmetros_Verm'!$G$28*'4.Parâmetros_Verm'!$H$28*'5.Mira'!$F$19*'6.Cibernético'!$C$24*'6.Cibernético'!$D$23*'9.Simulação'!$M$7)+('7.Config'!$E$12*'4.Parâmetros_Verm'!$D$37*'4.Parâmetros_Verm'!$F$37*'4.Parâmetros_Verm'!$G$37*'4.Parâmetros_Verm'!$H$37*'5.Mira'!$F$20*'6.Cibernético'!$C$24*'6.Cibernético'!$D$23*'9.Simulação'!$N$7)+('7.Config'!$E$12*'4.Parâmetros_Verm'!$D$46*'4.Parâmetros_Verm'!$F$46*'4.Parâmetros_Verm'!$G$46*'4.Parâmetros_Verm'!$H$46*'5.Mira'!$F$21*'6.Cibernético'!$C$24*'6.Cibernético'!$D$23*'9.Simulação'!$O$7)</f>
        <v>0.39684374999999994</v>
      </c>
      <c r="D8" s="69">
        <f>('7.Config'!$E$10*'4.Parâmetros_Verm'!$D$10*'4.Parâmetros_Verm'!$F$10*'4.Parâmetros_Verm'!$G$10*'4.Parâmetros_Verm'!$H$10*'5.Mira'!$F$17*'6.Cibernético'!$C$24*'6.Cibernético'!$D$23*'9.Simulação'!$K$8)+('7.Config'!$E$10*'4.Parâmetros_Verm'!$D$19*'4.Parâmetros_Verm'!$F$19*'4.Parâmetros_Verm'!$G$19*'4.Parâmetros_Verm'!$H$19*'5.Mira'!$F$18*'6.Cibernético'!$C$24*'6.Cibernético'!$D$23*'9.Simulação'!$L$8)+('7.Config'!$E$12*'4.Parâmetros_Verm'!$D$28*'4.Parâmetros_Verm'!$F$28*'4.Parâmetros_Verm'!$G$28*'4.Parâmetros_Verm'!$H$28*'5.Mira'!$F$19*'6.Cibernético'!$C$24*'6.Cibernético'!$D$23*'9.Simulação'!$M$8)+('7.Config'!$E$12*'4.Parâmetros_Verm'!$D$37*'4.Parâmetros_Verm'!$F$37*'4.Parâmetros_Verm'!$G$37*'4.Parâmetros_Verm'!$H$37*'5.Mira'!$F$20*'6.Cibernético'!$C$24*'6.Cibernético'!$D$23*'9.Simulação'!$N$8)+('7.Config'!$E$12*'4.Parâmetros_Verm'!$D$46*'4.Parâmetros_Verm'!$F$46*'4.Parâmetros_Verm'!$G$46*'4.Parâmetros_Verm'!$H$46*'5.Mira'!$F$21*'6.Cibernético'!$C$24*'6.Cibernético'!$D$23*'9.Simulação'!$O$8)</f>
        <v>0.39526308521838993</v>
      </c>
      <c r="E8" s="69">
        <f>('7.Config'!$E$10*'4.Parâmetros_Verm'!$D$10*'4.Parâmetros_Verm'!$F$10*'4.Parâmetros_Verm'!$G$10*'4.Parâmetros_Verm'!$H$10*'5.Mira'!$F$17*'6.Cibernético'!$C$24*'6.Cibernético'!$D$23*'9.Simulação'!$K$9)+('7.Config'!$E$10*'4.Parâmetros_Verm'!$D$19*'4.Parâmetros_Verm'!$F$19*'4.Parâmetros_Verm'!$G$19*'4.Parâmetros_Verm'!$H$19*'5.Mira'!$F$18*'6.Cibernético'!$C$24*'6.Cibernético'!$D$23*'9.Simulação'!$L$9)+('7.Config'!$E$12*'4.Parâmetros_Verm'!$D$28*'4.Parâmetros_Verm'!$F$28*'4.Parâmetros_Verm'!$G$28*'4.Parâmetros_Verm'!$H$28*'5.Mira'!$F$19*'6.Cibernético'!$C$24*'6.Cibernético'!$D$23*'9.Simulação'!$M$9)+('7.Config'!$E$12*'4.Parâmetros_Verm'!$D$37*'4.Parâmetros_Verm'!$F$37*'4.Parâmetros_Verm'!$G$37*'4.Parâmetros_Verm'!$H$37*'5.Mira'!$F$20*'6.Cibernético'!$C$24*'6.Cibernético'!$D$23*'9.Simulação'!$N$9)+('7.Config'!$E$12*'4.Parâmetros_Verm'!$D$46*'4.Parâmetros_Verm'!$F$46*'4.Parâmetros_Verm'!$G$46*'4.Parâmetros_Verm'!$H$46*'5.Mira'!$F$21*'6.Cibernético'!$C$24*'6.Cibernético'!$D$23*'9.Simulação'!$O$9)</f>
        <v>0.39367217455721076</v>
      </c>
      <c r="F8" s="69">
        <f>('7.Config'!$E$10*'4.Parâmetros_Verm'!$D$10*'4.Parâmetros_Verm'!$F$10*'4.Parâmetros_Verm'!$G$10*'4.Parâmetros_Verm'!$H$10*'5.Mira'!$F$17*'6.Cibernético'!$C$24*'6.Cibernético'!$D$23*'9.Simulação'!$K$10)+('7.Config'!$E$10*'4.Parâmetros_Verm'!$D$19*'4.Parâmetros_Verm'!$F$19*'4.Parâmetros_Verm'!$G$19*'4.Parâmetros_Verm'!$H$19*'5.Mira'!$F$18*'6.Cibernético'!$C$24*'6.Cibernético'!$D$23*'9.Simulação'!$L$10)+('7.Config'!$E$12*'4.Parâmetros_Verm'!$D$28*'4.Parâmetros_Verm'!$F$28*'4.Parâmetros_Verm'!$G$28*'4.Parâmetros_Verm'!$H$28*'5.Mira'!$F$19*'6.Cibernético'!$C$24*'6.Cibernético'!$D$23*'9.Simulação'!$M$10)+('7.Config'!$E$12*'4.Parâmetros_Verm'!$D$37*'4.Parâmetros_Verm'!$F$37*'4.Parâmetros_Verm'!$G$37*'4.Parâmetros_Verm'!$H$37*'5.Mira'!$F$20*'6.Cibernético'!$C$24*'6.Cibernético'!$D$23*'9.Simulação'!$N$10)+('7.Config'!$E$12*'4.Parâmetros_Verm'!$D$46*'4.Parâmetros_Verm'!$F$46*'4.Parâmetros_Verm'!$G$46*'4.Parâmetros_Verm'!$H$46*'5.Mira'!$F$21*'6.Cibernético'!$C$24*'6.Cibernético'!$D$23*'9.Simulação'!$O$10)</f>
        <v>0.39207089693379588</v>
      </c>
      <c r="G8" s="69">
        <f>('7.Config'!$E$10*'4.Parâmetros_Verm'!$D$10*'4.Parâmetros_Verm'!$F$10*'4.Parâmetros_Verm'!$G$10*'4.Parâmetros_Verm'!$H$10*'5.Mira'!$F$17*'6.Cibernético'!$C$24*'6.Cibernético'!$D$23*'9.Simulação'!$K$11)+('7.Config'!$E$10*'4.Parâmetros_Verm'!$D$19*'4.Parâmetros_Verm'!$F$19*'4.Parâmetros_Verm'!$G$19*'4.Parâmetros_Verm'!$H$19*'5.Mira'!$F$18*'6.Cibernético'!$C$24*'6.Cibernético'!$D$23*'9.Simulação'!$L$11)+('7.Config'!$E$12*'4.Parâmetros_Verm'!$D$28*'4.Parâmetros_Verm'!$F$28*'4.Parâmetros_Verm'!$G$28*'4.Parâmetros_Verm'!$H$28*'5.Mira'!$F$19*'6.Cibernético'!$C$24*'6.Cibernético'!$D$23*'9.Simulação'!$M$11)+('7.Config'!$E$12*'4.Parâmetros_Verm'!$D$37*'4.Parâmetros_Verm'!$F$37*'4.Parâmetros_Verm'!$G$37*'4.Parâmetros_Verm'!$H$37*'5.Mira'!$F$20*'6.Cibernético'!$C$24*'6.Cibernético'!$D$23*'9.Simulação'!$N$11)+('7.Config'!$E$12*'4.Parâmetros_Verm'!$D$46*'4.Parâmetros_Verm'!$F$46*'4.Parâmetros_Verm'!$G$46*'4.Parâmetros_Verm'!$H$46*'5.Mira'!$F$21*'6.Cibernético'!$C$24*'6.Cibernético'!$D$23*'9.Simulação'!$O$11)</f>
        <v>0.39045912958228646</v>
      </c>
      <c r="H8" s="69">
        <f>('7.Config'!$E$10*'4.Parâmetros_Verm'!$D$10*'4.Parâmetros_Verm'!$F$10*'4.Parâmetros_Verm'!$G$10*'4.Parâmetros_Verm'!$H$10*'5.Mira'!$F$17*'6.Cibernético'!$C$24*'6.Cibernético'!$D$23*'9.Simulação'!$K$12)+('7.Config'!$E$10*'4.Parâmetros_Verm'!$D$19*'4.Parâmetros_Verm'!$F$19*'4.Parâmetros_Verm'!$G$19*'4.Parâmetros_Verm'!$H$19*'5.Mira'!$F$18*'6.Cibernético'!$C$24*'6.Cibernético'!$D$23*'9.Simulação'!$L$12)+('7.Config'!$E$12*'4.Parâmetros_Verm'!$D$28*'4.Parâmetros_Verm'!$F$28*'4.Parâmetros_Verm'!$G$28*'4.Parâmetros_Verm'!$H$28*'5.Mira'!$F$19*'6.Cibernético'!$C$24*'6.Cibernético'!$D$23*'9.Simulação'!$M$12)+('7.Config'!$E$12*'4.Parâmetros_Verm'!$D$37*'4.Parâmetros_Verm'!$F$37*'4.Parâmetros_Verm'!$G$37*'4.Parâmetros_Verm'!$H$37*'5.Mira'!$F$20*'6.Cibernético'!$C$24*'6.Cibernético'!$D$23*'9.Simulação'!$N$12)+('7.Config'!$E$12*'4.Parâmetros_Verm'!$D$46*'4.Parâmetros_Verm'!$F$46*'4.Parâmetros_Verm'!$G$46*'4.Parâmetros_Verm'!$H$46*'5.Mira'!$F$21*'6.Cibernético'!$C$24*'6.Cibernético'!$D$23*'9.Simulação'!$O$12)</f>
        <v>0.38883674885718622</v>
      </c>
      <c r="I8" s="69">
        <f>('7.Config'!$E$10*'4.Parâmetros_Verm'!$D$10*'4.Parâmetros_Verm'!$F$10*'4.Parâmetros_Verm'!$G$10*'4.Parâmetros_Verm'!$H$10*'5.Mira'!$F$17*'6.Cibernético'!$C$24*'6.Cibernético'!$D$23*'9.Simulação'!$K$13)+('7.Config'!$E$10*'4.Parâmetros_Verm'!$D$19*'4.Parâmetros_Verm'!$F$19*'4.Parâmetros_Verm'!$G$19*'4.Parâmetros_Verm'!$H$19*'5.Mira'!$F$18*'6.Cibernético'!$C$24*'6.Cibernético'!$D$23*'9.Simulação'!$L$13)+('7.Config'!$E$12*'4.Parâmetros_Verm'!$D$28*'4.Parâmetros_Verm'!$F$28*'4.Parâmetros_Verm'!$G$28*'4.Parâmetros_Verm'!$H$28*'5.Mira'!$F$19*'6.Cibernético'!$C$24*'6.Cibernético'!$D$23*'9.Simulação'!$M$13)+('7.Config'!$E$12*'4.Parâmetros_Verm'!$D$37*'4.Parâmetros_Verm'!$F$37*'4.Parâmetros_Verm'!$G$37*'4.Parâmetros_Verm'!$H$37*'5.Mira'!$F$20*'6.Cibernético'!$C$24*'6.Cibernético'!$D$23*'9.Simulação'!$N$13)+('7.Config'!$E$12*'4.Parâmetros_Verm'!$D$46*'4.Parâmetros_Verm'!$F$46*'4.Parâmetros_Verm'!$G$46*'4.Parâmetros_Verm'!$H$46*'5.Mira'!$F$21*'6.Cibernético'!$C$24*'6.Cibernético'!$D$23*'9.Simulação'!$O$13)</f>
        <v>0.38720363632932725</v>
      </c>
      <c r="J8" s="69">
        <f>('7.Config'!$E$10*'4.Parâmetros_Verm'!$D$10*'4.Parâmetros_Verm'!$F$10*'4.Parâmetros_Verm'!$G$10*'4.Parâmetros_Verm'!$H$10*'5.Mira'!$F$17*'6.Cibernético'!$C$24*'6.Cibernético'!$D$23*'9.Simulação'!$K$14)+('7.Config'!$E$10*'4.Parâmetros_Verm'!$D$19*'4.Parâmetros_Verm'!$F$19*'4.Parâmetros_Verm'!$G$19*'4.Parâmetros_Verm'!$H$19*'5.Mira'!$F$18*'6.Cibernético'!$C$24*'6.Cibernético'!$D$23*'9.Simulação'!$L$14)+('7.Config'!$E$12*'4.Parâmetros_Verm'!$D$28*'4.Parâmetros_Verm'!$F$28*'4.Parâmetros_Verm'!$G$28*'4.Parâmetros_Verm'!$H$28*'5.Mira'!$F$19*'6.Cibernético'!$C$24*'6.Cibernético'!$D$23*'9.Simulação'!$M$14)+('7.Config'!$E$12*'4.Parâmetros_Verm'!$D$37*'4.Parâmetros_Verm'!$F$37*'4.Parâmetros_Verm'!$G$37*'4.Parâmetros_Verm'!$H$37*'5.Mira'!$F$20*'6.Cibernético'!$C$24*'6.Cibernético'!$D$23*'9.Simulação'!$N$14)+('7.Config'!$E$12*'4.Parâmetros_Verm'!$D$46*'4.Parâmetros_Verm'!$F$46*'4.Parâmetros_Verm'!$G$46*'4.Parâmetros_Verm'!$H$46*'5.Mira'!$F$21*'6.Cibernético'!$C$24*'6.Cibernético'!$D$23*'9.Simulação'!$O$14)</f>
        <v>0.38555967196365809</v>
      </c>
      <c r="K8" s="69">
        <f>('7.Config'!$E$10*'4.Parâmetros_Verm'!$D$10*'4.Parâmetros_Verm'!$F$10*'4.Parâmetros_Verm'!$G$10*'4.Parâmetros_Verm'!$H$10*'5.Mira'!$F$17*'6.Cibernético'!$C$24*'6.Cibernético'!$D$23*'9.Simulação'!$K$15)+('7.Config'!$E$10*'4.Parâmetros_Verm'!$D$19*'4.Parâmetros_Verm'!$F$19*'4.Parâmetros_Verm'!$G$19*'4.Parâmetros_Verm'!$H$19*'5.Mira'!$F$18*'6.Cibernético'!$C$24*'6.Cibernético'!$D$23*'9.Simulação'!$L$15)+('7.Config'!$E$12*'4.Parâmetros_Verm'!$D$28*'4.Parâmetros_Verm'!$F$28*'4.Parâmetros_Verm'!$G$28*'4.Parâmetros_Verm'!$H$28*'5.Mira'!$F$19*'6.Cibernético'!$C$24*'6.Cibernético'!$D$23*'9.Simulação'!$M$15)+('7.Config'!$E$12*'4.Parâmetros_Verm'!$D$37*'4.Parâmetros_Verm'!$F$37*'4.Parâmetros_Verm'!$G$37*'4.Parâmetros_Verm'!$H$37*'5.Mira'!$F$20*'6.Cibernético'!$C$24*'6.Cibernético'!$D$23*'9.Simulação'!$N$15)+('7.Config'!$E$12*'4.Parâmetros_Verm'!$D$46*'4.Parâmetros_Verm'!$F$46*'4.Parâmetros_Verm'!$G$46*'4.Parâmetros_Verm'!$H$46*'5.Mira'!$F$21*'6.Cibernético'!$C$24*'6.Cibernético'!$D$23*'9.Simulação'!$O$15)</f>
        <v>0.38390473409563441</v>
      </c>
      <c r="L8" s="69">
        <f>('7.Config'!$E$10*'4.Parâmetros_Verm'!$D$10*'4.Parâmetros_Verm'!$F$10*'4.Parâmetros_Verm'!$G$10*'4.Parâmetros_Verm'!$H$10*'5.Mira'!$F$17*'6.Cibernético'!$C$24*'6.Cibernético'!$D$23*'9.Simulação'!$K$16)+('7.Config'!$E$10*'4.Parâmetros_Verm'!$D$19*'4.Parâmetros_Verm'!$F$19*'4.Parâmetros_Verm'!$G$19*'4.Parâmetros_Verm'!$H$19*'5.Mira'!$F$18*'6.Cibernético'!$C$24*'6.Cibernético'!$D$23*'9.Simulação'!$L$16)+('7.Config'!$E$12*'4.Parâmetros_Verm'!$D$28*'4.Parâmetros_Verm'!$F$28*'4.Parâmetros_Verm'!$G$28*'4.Parâmetros_Verm'!$H$28*'5.Mira'!$F$19*'6.Cibernético'!$C$24*'6.Cibernético'!$D$23*'9.Simulação'!$M$16)+('7.Config'!$E$12*'4.Parâmetros_Verm'!$D$37*'4.Parâmetros_Verm'!$F$37*'4.Parâmetros_Verm'!$G$37*'4.Parâmetros_Verm'!$H$37*'5.Mira'!$F$20*'6.Cibernético'!$C$24*'6.Cibernético'!$D$23*'9.Simulação'!$N$16)+('7.Config'!$E$12*'4.Parâmetros_Verm'!$D$46*'4.Parâmetros_Verm'!$F$46*'4.Parâmetros_Verm'!$G$46*'4.Parâmetros_Verm'!$H$46*'5.Mira'!$F$21*'6.Cibernético'!$C$24*'6.Cibernético'!$D$23*'9.Simulação'!$O$16)</f>
        <v>0.38223869940725064</v>
      </c>
    </row>
    <row r="9" spans="1:12" x14ac:dyDescent="0.2">
      <c r="A9" s="68" t="s">
        <v>204</v>
      </c>
      <c r="B9" s="40" t="s">
        <v>90</v>
      </c>
      <c r="C9" s="69">
        <f>('7.Config'!$E$10*'4.Parâmetros_Verm'!$D$11*'4.Parâmetros_Verm'!$F$11*'4.Parâmetros_Verm'!$G$11*'4.Parâmetros_Verm'!$H$11*'5.Mira'!$G$17*'6.Cibernético'!$C$24*'6.Cibernético'!$D$23*'9.Simulação'!$K$7)+('7.Config'!$E$10*'4.Parâmetros_Verm'!$D$20*'4.Parâmetros_Verm'!$F$20*'4.Parâmetros_Verm'!$G$20*'4.Parâmetros_Verm'!$H$20*'5.Mira'!$G$18*'6.Cibernético'!$C$24*'6.Cibernético'!$D$23*'9.Simulação'!$L$7)+('7.Config'!$E$12*'4.Parâmetros_Verm'!$D$29*'4.Parâmetros_Verm'!$F$29*'4.Parâmetros_Verm'!$G$29*'4.Parâmetros_Verm'!$H$29*'5.Mira'!$G$19*'6.Cibernético'!$C$24*'6.Cibernético'!$D$23*'9.Simulação'!$M$7)+('7.Config'!$E$12*'4.Parâmetros_Verm'!$D$38*'4.Parâmetros_Verm'!$F$38*'4.Parâmetros_Verm'!$G$38*'4.Parâmetros_Verm'!$H$38*'5.Mira'!$G$20*'6.Cibernético'!$C$24*'6.Cibernético'!$D$23*'9.Simulação'!$N$7)+('7.Config'!$E$12*'4.Parâmetros_Verm'!$D$47*'4.Parâmetros_Verm'!$F$47*'4.Parâmetros_Verm'!$G$47*'4.Parâmetros_Verm'!$H$47*'5.Mira'!$G$21*'6.Cibernético'!$C$24*'6.Cibernético'!$D$23*'9.Simulação'!$O$7)</f>
        <v>0.39684374999999994</v>
      </c>
      <c r="D9" s="69">
        <f>('7.Config'!$E$10*'4.Parâmetros_Verm'!$D$11*'4.Parâmetros_Verm'!$F$11*'4.Parâmetros_Verm'!$G$11*'4.Parâmetros_Verm'!$H$11*'5.Mira'!$G$17*'6.Cibernético'!$C$24*'6.Cibernético'!$D$23*'9.Simulação'!$K$8)+('7.Config'!$E$10*'4.Parâmetros_Verm'!$D$20*'4.Parâmetros_Verm'!$F$20*'4.Parâmetros_Verm'!$G$20*'4.Parâmetros_Verm'!$H$20*'5.Mira'!$G$18*'6.Cibernético'!$C$24*'6.Cibernético'!$D$23*'9.Simulação'!$L$8)+('7.Config'!$E$12*'4.Parâmetros_Verm'!$D$29*'4.Parâmetros_Verm'!$F$29*'4.Parâmetros_Verm'!$G$29*'4.Parâmetros_Verm'!$H$29*'5.Mira'!$G$19*'6.Cibernético'!$C$24*'6.Cibernético'!$D$23*'9.Simulação'!$M$8)+('7.Config'!$E$12*'4.Parâmetros_Verm'!$D$38*'4.Parâmetros_Verm'!$F$38*'4.Parâmetros_Verm'!$G$38*'4.Parâmetros_Verm'!$H$38*'5.Mira'!$G$20*'6.Cibernético'!$C$24*'6.Cibernético'!$D$23*'9.Simulação'!$N$8)+('7.Config'!$E$12*'4.Parâmetros_Verm'!$D$47*'4.Parâmetros_Verm'!$F$47*'4.Parâmetros_Verm'!$G$47*'4.Parâmetros_Verm'!$H$47*'5.Mira'!$G$21*'6.Cibernético'!$C$24*'6.Cibernético'!$D$23*'9.Simulação'!$O$8)</f>
        <v>0.39526308521838993</v>
      </c>
      <c r="E9" s="69">
        <f>('7.Config'!$E$10*'4.Parâmetros_Verm'!$D$11*'4.Parâmetros_Verm'!$F$11*'4.Parâmetros_Verm'!$G$11*'4.Parâmetros_Verm'!$H$11*'5.Mira'!$G$17*'6.Cibernético'!$C$24*'6.Cibernético'!$D$23*'9.Simulação'!$K$9)+('7.Config'!$E$10*'4.Parâmetros_Verm'!$D$20*'4.Parâmetros_Verm'!$F$20*'4.Parâmetros_Verm'!$G$20*'4.Parâmetros_Verm'!$H$20*'5.Mira'!$G$18*'6.Cibernético'!$C$24*'6.Cibernético'!$D$23*'9.Simulação'!$L$9)+('7.Config'!$E$12*'4.Parâmetros_Verm'!$D$29*'4.Parâmetros_Verm'!$F$29*'4.Parâmetros_Verm'!$G$29*'4.Parâmetros_Verm'!$H$29*'5.Mira'!$G$19*'6.Cibernético'!$C$24*'6.Cibernético'!$D$23*'9.Simulação'!$M$9)+('7.Config'!$E$12*'4.Parâmetros_Verm'!$D$38*'4.Parâmetros_Verm'!$F$38*'4.Parâmetros_Verm'!$G$38*'4.Parâmetros_Verm'!$H$38*'5.Mira'!$G$20*'6.Cibernético'!$C$24*'6.Cibernético'!$D$23*'9.Simulação'!$N$9)+('7.Config'!$E$12*'4.Parâmetros_Verm'!$D$47*'4.Parâmetros_Verm'!$F$47*'4.Parâmetros_Verm'!$G$47*'4.Parâmetros_Verm'!$H$47*'5.Mira'!$G$21*'6.Cibernético'!$C$24*'6.Cibernético'!$D$23*'9.Simulação'!$O$9)</f>
        <v>0.39367217455721076</v>
      </c>
      <c r="F9" s="69">
        <f>('7.Config'!$E$10*'4.Parâmetros_Verm'!$D$11*'4.Parâmetros_Verm'!$F$11*'4.Parâmetros_Verm'!$G$11*'4.Parâmetros_Verm'!$H$11*'5.Mira'!$G$17*'6.Cibernético'!$C$24*'6.Cibernético'!$D$23*'9.Simulação'!$K$10)+('7.Config'!$E$10*'4.Parâmetros_Verm'!$D$20*'4.Parâmetros_Verm'!$F$20*'4.Parâmetros_Verm'!$G$20*'4.Parâmetros_Verm'!$H$20*'5.Mira'!$G$18*'6.Cibernético'!$C$24*'6.Cibernético'!$D$23*'9.Simulação'!$L$10)+('7.Config'!$E$12*'4.Parâmetros_Verm'!$D$29*'4.Parâmetros_Verm'!$F$29*'4.Parâmetros_Verm'!$G$29*'4.Parâmetros_Verm'!$H$29*'5.Mira'!$G$19*'6.Cibernético'!$C$24*'6.Cibernético'!$D$23*'9.Simulação'!$M$10)+('7.Config'!$E$12*'4.Parâmetros_Verm'!$D$38*'4.Parâmetros_Verm'!$F$38*'4.Parâmetros_Verm'!$G$38*'4.Parâmetros_Verm'!$H$38*'5.Mira'!$G$20*'6.Cibernético'!$C$24*'6.Cibernético'!$D$23*'9.Simulação'!$N$10)+('7.Config'!$E$12*'4.Parâmetros_Verm'!$D$47*'4.Parâmetros_Verm'!$F$47*'4.Parâmetros_Verm'!$G$47*'4.Parâmetros_Verm'!$H$47*'5.Mira'!$G$21*'6.Cibernético'!$C$24*'6.Cibernético'!$D$23*'9.Simulação'!$O$10)</f>
        <v>0.39207089693379588</v>
      </c>
      <c r="G9" s="69">
        <f>('7.Config'!$E$10*'4.Parâmetros_Verm'!$D$11*'4.Parâmetros_Verm'!$F$11*'4.Parâmetros_Verm'!$G$11*'4.Parâmetros_Verm'!$H$11*'5.Mira'!$G$17*'6.Cibernético'!$C$24*'6.Cibernético'!$D$23*'9.Simulação'!$K$11)+('7.Config'!$E$10*'4.Parâmetros_Verm'!$D$20*'4.Parâmetros_Verm'!$F$20*'4.Parâmetros_Verm'!$G$20*'4.Parâmetros_Verm'!$H$20*'5.Mira'!$G$18*'6.Cibernético'!$C$24*'6.Cibernético'!$D$23*'9.Simulação'!$L$11)+('7.Config'!$E$12*'4.Parâmetros_Verm'!$D$29*'4.Parâmetros_Verm'!$F$29*'4.Parâmetros_Verm'!$G$29*'4.Parâmetros_Verm'!$H$29*'5.Mira'!$G$19*'6.Cibernético'!$C$24*'6.Cibernético'!$D$23*'9.Simulação'!$M$11)+('7.Config'!$E$12*'4.Parâmetros_Verm'!$D$38*'4.Parâmetros_Verm'!$F$38*'4.Parâmetros_Verm'!$G$38*'4.Parâmetros_Verm'!$H$38*'5.Mira'!$G$20*'6.Cibernético'!$C$24*'6.Cibernético'!$D$23*'9.Simulação'!$N$11)+('7.Config'!$E$12*'4.Parâmetros_Verm'!$D$47*'4.Parâmetros_Verm'!$F$47*'4.Parâmetros_Verm'!$G$47*'4.Parâmetros_Verm'!$H$47*'5.Mira'!$G$21*'6.Cibernético'!$C$24*'6.Cibernético'!$D$23*'9.Simulação'!$O$11)</f>
        <v>0.39045912958228646</v>
      </c>
      <c r="H9" s="69">
        <f>('7.Config'!$E$10*'4.Parâmetros_Verm'!$D$11*'4.Parâmetros_Verm'!$F$11*'4.Parâmetros_Verm'!$G$11*'4.Parâmetros_Verm'!$H$11*'5.Mira'!$G$17*'6.Cibernético'!$C$24*'6.Cibernético'!$D$23*'9.Simulação'!$K$12)+('7.Config'!$E$10*'4.Parâmetros_Verm'!$D$20*'4.Parâmetros_Verm'!$F$20*'4.Parâmetros_Verm'!$G$20*'4.Parâmetros_Verm'!$H$20*'5.Mira'!$G$18*'6.Cibernético'!$C$24*'6.Cibernético'!$D$23*'9.Simulação'!$L$12)+('7.Config'!$E$12*'4.Parâmetros_Verm'!$D$29*'4.Parâmetros_Verm'!$F$29*'4.Parâmetros_Verm'!$G$29*'4.Parâmetros_Verm'!$H$29*'5.Mira'!$G$19*'6.Cibernético'!$C$24*'6.Cibernético'!$D$23*'9.Simulação'!$M$12)+('7.Config'!$E$12*'4.Parâmetros_Verm'!$D$38*'4.Parâmetros_Verm'!$F$38*'4.Parâmetros_Verm'!$G$38*'4.Parâmetros_Verm'!$H$38*'5.Mira'!$G$20*'6.Cibernético'!$C$24*'6.Cibernético'!$D$23*'9.Simulação'!$N$12)+('7.Config'!$E$12*'4.Parâmetros_Verm'!$D$47*'4.Parâmetros_Verm'!$F$47*'4.Parâmetros_Verm'!$G$47*'4.Parâmetros_Verm'!$H$47*'5.Mira'!$G$21*'6.Cibernético'!$C$24*'6.Cibernético'!$D$23*'9.Simulação'!$O$12)</f>
        <v>0.38883674885718622</v>
      </c>
      <c r="I9" s="69">
        <f>('7.Config'!$E$10*'4.Parâmetros_Verm'!$D$11*'4.Parâmetros_Verm'!$F$11*'4.Parâmetros_Verm'!$G$11*'4.Parâmetros_Verm'!$H$11*'5.Mira'!$G$17*'6.Cibernético'!$C$24*'6.Cibernético'!$D$23*'9.Simulação'!$K$13)+('7.Config'!$E$10*'4.Parâmetros_Verm'!$D$20*'4.Parâmetros_Verm'!$F$20*'4.Parâmetros_Verm'!$G$20*'4.Parâmetros_Verm'!$H$20*'5.Mira'!$G$18*'6.Cibernético'!$C$24*'6.Cibernético'!$D$23*'9.Simulação'!$L$13)+('7.Config'!$E$12*'4.Parâmetros_Verm'!$D$29*'4.Parâmetros_Verm'!$F$29*'4.Parâmetros_Verm'!$G$29*'4.Parâmetros_Verm'!$H$29*'5.Mira'!$G$19*'6.Cibernético'!$C$24*'6.Cibernético'!$D$23*'9.Simulação'!$M$13)+('7.Config'!$E$12*'4.Parâmetros_Verm'!$D$38*'4.Parâmetros_Verm'!$F$38*'4.Parâmetros_Verm'!$G$38*'4.Parâmetros_Verm'!$H$38*'5.Mira'!$G$20*'6.Cibernético'!$C$24*'6.Cibernético'!$D$23*'9.Simulação'!$N$13)+('7.Config'!$E$12*'4.Parâmetros_Verm'!$D$47*'4.Parâmetros_Verm'!$F$47*'4.Parâmetros_Verm'!$G$47*'4.Parâmetros_Verm'!$H$47*'5.Mira'!$G$21*'6.Cibernético'!$C$24*'6.Cibernético'!$D$23*'9.Simulação'!$O$13)</f>
        <v>0.38720363632932725</v>
      </c>
      <c r="J9" s="69">
        <f>('7.Config'!$E$10*'4.Parâmetros_Verm'!$D$11*'4.Parâmetros_Verm'!$F$11*'4.Parâmetros_Verm'!$G$11*'4.Parâmetros_Verm'!$H$11*'5.Mira'!$G$17*'6.Cibernético'!$C$24*'6.Cibernético'!$D$23*'9.Simulação'!$K$14)+('7.Config'!$E$10*'4.Parâmetros_Verm'!$D$20*'4.Parâmetros_Verm'!$F$20*'4.Parâmetros_Verm'!$G$20*'4.Parâmetros_Verm'!$H$20*'5.Mira'!$G$18*'6.Cibernético'!$C$24*'6.Cibernético'!$D$23*'9.Simulação'!$L$14)+('7.Config'!$E$12*'4.Parâmetros_Verm'!$D$29*'4.Parâmetros_Verm'!$F$29*'4.Parâmetros_Verm'!$G$29*'4.Parâmetros_Verm'!$H$29*'5.Mira'!$G$19*'6.Cibernético'!$C$24*'6.Cibernético'!$D$23*'9.Simulação'!$M$14)+('7.Config'!$E$12*'4.Parâmetros_Verm'!$D$38*'4.Parâmetros_Verm'!$F$38*'4.Parâmetros_Verm'!$G$38*'4.Parâmetros_Verm'!$H$38*'5.Mira'!$G$20*'6.Cibernético'!$C$24*'6.Cibernético'!$D$23*'9.Simulação'!$N$14)+('7.Config'!$E$12*'4.Parâmetros_Verm'!$D$47*'4.Parâmetros_Verm'!$F$47*'4.Parâmetros_Verm'!$G$47*'4.Parâmetros_Verm'!$H$47*'5.Mira'!$G$21*'6.Cibernético'!$C$24*'6.Cibernético'!$D$23*'9.Simulação'!$O$14)</f>
        <v>0.38555967196365809</v>
      </c>
      <c r="K9" s="69">
        <f>('7.Config'!$E$10*'4.Parâmetros_Verm'!$D$11*'4.Parâmetros_Verm'!$F$11*'4.Parâmetros_Verm'!$G$11*'4.Parâmetros_Verm'!$H$11*'5.Mira'!$G$17*'6.Cibernético'!$C$24*'6.Cibernético'!$D$23*'9.Simulação'!$K$15)+('7.Config'!$E$10*'4.Parâmetros_Verm'!$D$20*'4.Parâmetros_Verm'!$F$20*'4.Parâmetros_Verm'!$G$20*'4.Parâmetros_Verm'!$H$20*'5.Mira'!$G$18*'6.Cibernético'!$C$24*'6.Cibernético'!$D$23*'9.Simulação'!$L$15)+('7.Config'!$E$12*'4.Parâmetros_Verm'!$D$29*'4.Parâmetros_Verm'!$F$29*'4.Parâmetros_Verm'!$G$29*'4.Parâmetros_Verm'!$H$29*'5.Mira'!$G$19*'6.Cibernético'!$C$24*'6.Cibernético'!$D$23*'9.Simulação'!$M$15)+('7.Config'!$E$12*'4.Parâmetros_Verm'!$D$38*'4.Parâmetros_Verm'!$F$38*'4.Parâmetros_Verm'!$G$38*'4.Parâmetros_Verm'!$H$38*'5.Mira'!$G$20*'6.Cibernético'!$C$24*'6.Cibernético'!$D$23*'9.Simulação'!$N$15)+('7.Config'!$E$12*'4.Parâmetros_Verm'!$D$47*'4.Parâmetros_Verm'!$F$47*'4.Parâmetros_Verm'!$G$47*'4.Parâmetros_Verm'!$H$47*'5.Mira'!$G$21*'6.Cibernético'!$C$24*'6.Cibernético'!$D$23*'9.Simulação'!$O$15)</f>
        <v>0.38390473409563441</v>
      </c>
      <c r="L9" s="69">
        <f>('7.Config'!$E$10*'4.Parâmetros_Verm'!$D$11*'4.Parâmetros_Verm'!$F$11*'4.Parâmetros_Verm'!$G$11*'4.Parâmetros_Verm'!$H$11*'5.Mira'!$G$17*'6.Cibernético'!$C$24*'6.Cibernético'!$D$23*'9.Simulação'!$K$16)+('7.Config'!$E$10*'4.Parâmetros_Verm'!$D$20*'4.Parâmetros_Verm'!$F$20*'4.Parâmetros_Verm'!$G$20*'4.Parâmetros_Verm'!$H$20*'5.Mira'!$G$18*'6.Cibernético'!$C$24*'6.Cibernético'!$D$23*'9.Simulação'!$L$16)+('7.Config'!$E$12*'4.Parâmetros_Verm'!$D$29*'4.Parâmetros_Verm'!$F$29*'4.Parâmetros_Verm'!$G$29*'4.Parâmetros_Verm'!$H$29*'5.Mira'!$G$19*'6.Cibernético'!$C$24*'6.Cibernético'!$D$23*'9.Simulação'!$M$16)+('7.Config'!$E$12*'4.Parâmetros_Verm'!$D$38*'4.Parâmetros_Verm'!$F$38*'4.Parâmetros_Verm'!$G$38*'4.Parâmetros_Verm'!$H$38*'5.Mira'!$G$20*'6.Cibernético'!$C$24*'6.Cibernético'!$D$23*'9.Simulação'!$N$16)+('7.Config'!$E$12*'4.Parâmetros_Verm'!$D$47*'4.Parâmetros_Verm'!$F$47*'4.Parâmetros_Verm'!$G$47*'4.Parâmetros_Verm'!$H$47*'5.Mira'!$G$21*'6.Cibernético'!$C$24*'6.Cibernético'!$D$23*'9.Simulação'!$O$16)</f>
        <v>0.38223869940725064</v>
      </c>
    </row>
    <row r="10" spans="1:12" x14ac:dyDescent="0.2">
      <c r="A10" s="68" t="s">
        <v>204</v>
      </c>
      <c r="B10" s="40" t="s">
        <v>92</v>
      </c>
      <c r="C10" s="69">
        <f>('7.Config'!$F$10*'4.Parâmetros_Verm'!$D$12*'4.Parâmetros_Verm'!$F$12*'4.Parâmetros_Verm'!$G$12*'4.Parâmetros_Verm'!$H$12*'5.Mira'!$H$17*'6.Cibernético'!$C$24*'6.Cibernético'!$D$23*'9.Simulação'!$K$7)+('7.Config'!$F$10*'4.Parâmetros_Verm'!$D$21*'4.Parâmetros_Verm'!$F$21*'4.Parâmetros_Verm'!$G$21*'4.Parâmetros_Verm'!$H$21*'5.Mira'!$H$18*'6.Cibernético'!$C$24*'6.Cibernético'!$D$23*'9.Simulação'!$L$7)+('7.Config'!$F$12*'4.Parâmetros_Verm'!$D$30*'4.Parâmetros_Verm'!$F$30*'4.Parâmetros_Verm'!$G$30*'4.Parâmetros_Verm'!$H$30*'5.Mira'!$H$19*'6.Cibernético'!$C$24*'6.Cibernético'!$D$23*'9.Simulação'!$M$7)+('7.Config'!$F$12*'4.Parâmetros_Verm'!$D$39*'4.Parâmetros_Verm'!$F$39*'4.Parâmetros_Verm'!$G$39*'4.Parâmetros_Verm'!$H$39*'5.Mira'!$H$20*'6.Cibernético'!$C$24*'6.Cibernético'!$D$23*'9.Simulação'!$N$7)+('7.Config'!$F$12*'4.Parâmetros_Verm'!$D$48*'4.Parâmetros_Verm'!$F$48*'4.Parâmetros_Verm'!$G$48*'4.Parâmetros_Verm'!$H$48*'5.Mira'!$H$21*'6.Cibernético'!$C$24*'6.Cibernético'!$D$23*'9.Simulação'!$O$7)</f>
        <v>0.43573124999999996</v>
      </c>
      <c r="D10" s="69">
        <f>('7.Config'!$F$10*'4.Parâmetros_Verm'!$D$12*'4.Parâmetros_Verm'!$F$12*'4.Parâmetros_Verm'!$G$12*'4.Parâmetros_Verm'!$H$12*'5.Mira'!$H$17*'6.Cibernético'!$C$24*'6.Cibernético'!$D$23*'9.Simulação'!$K$8)+('7.Config'!$F$10*'4.Parâmetros_Verm'!$D$21*'4.Parâmetros_Verm'!$F$21*'4.Parâmetros_Verm'!$G$21*'4.Parâmetros_Verm'!$H$21*'5.Mira'!$H$18*'6.Cibernético'!$C$24*'6.Cibernético'!$D$23*'9.Simulação'!$L$8)+('7.Config'!$F$12*'4.Parâmetros_Verm'!$D$30*'4.Parâmetros_Verm'!$F$30*'4.Parâmetros_Verm'!$G$30*'4.Parâmetros_Verm'!$H$30*'5.Mira'!$H$19*'6.Cibernético'!$C$24*'6.Cibernético'!$D$23*'9.Simulação'!$M$8)+('7.Config'!$F$12*'4.Parâmetros_Verm'!$D$39*'4.Parâmetros_Verm'!$F$39*'4.Parâmetros_Verm'!$G$39*'4.Parâmetros_Verm'!$H$39*'5.Mira'!$H$20*'6.Cibernético'!$C$24*'6.Cibernético'!$D$23*'9.Simulação'!$N$8)+('7.Config'!$F$12*'4.Parâmetros_Verm'!$D$48*'4.Parâmetros_Verm'!$F$48*'4.Parâmetros_Verm'!$G$48*'4.Parâmetros_Verm'!$H$48*'5.Mira'!$H$21*'6.Cibernético'!$C$24*'6.Cibernético'!$D$23*'9.Simulação'!$O$8)</f>
        <v>0.43410542336748686</v>
      </c>
      <c r="E10" s="69">
        <f>('7.Config'!$F$10*'4.Parâmetros_Verm'!$D$12*'4.Parâmetros_Verm'!$F$12*'4.Parâmetros_Verm'!$G$12*'4.Parâmetros_Verm'!$H$12*'5.Mira'!$H$17*'6.Cibernético'!$C$24*'6.Cibernético'!$D$23*'9.Simulação'!$K$9)+('7.Config'!$F$10*'4.Parâmetros_Verm'!$D$21*'4.Parâmetros_Verm'!$F$21*'4.Parâmetros_Verm'!$G$21*'4.Parâmetros_Verm'!$H$21*'5.Mira'!$H$18*'6.Cibernético'!$C$24*'6.Cibernético'!$D$23*'9.Simulação'!$L$9)+('7.Config'!$F$12*'4.Parâmetros_Verm'!$D$30*'4.Parâmetros_Verm'!$F$30*'4.Parâmetros_Verm'!$G$30*'4.Parâmetros_Verm'!$H$30*'5.Mira'!$H$19*'6.Cibernético'!$C$24*'6.Cibernético'!$D$23*'9.Simulação'!$M$9)+('7.Config'!$F$12*'4.Parâmetros_Verm'!$D$39*'4.Parâmetros_Verm'!$F$39*'4.Parâmetros_Verm'!$G$39*'4.Parâmetros_Verm'!$H$39*'5.Mira'!$H$20*'6.Cibernético'!$C$24*'6.Cibernético'!$D$23*'9.Simulação'!$N$9)+('7.Config'!$F$12*'4.Parâmetros_Verm'!$D$48*'4.Parâmetros_Verm'!$F$48*'4.Parâmetros_Verm'!$G$48*'4.Parâmetros_Verm'!$H$48*'5.Mira'!$H$21*'6.Cibernético'!$C$24*'6.Cibernético'!$D$23*'9.Simulação'!$O$9)</f>
        <v>0.43246905811598824</v>
      </c>
      <c r="F10" s="69">
        <f>('7.Config'!$F$10*'4.Parâmetros_Verm'!$D$12*'4.Parâmetros_Verm'!$F$12*'4.Parâmetros_Verm'!$G$12*'4.Parâmetros_Verm'!$H$12*'5.Mira'!$H$17*'6.Cibernético'!$C$24*'6.Cibernético'!$D$23*'9.Simulação'!$K$10)+('7.Config'!$F$10*'4.Parâmetros_Verm'!$D$21*'4.Parâmetros_Verm'!$F$21*'4.Parâmetros_Verm'!$G$21*'4.Parâmetros_Verm'!$H$21*'5.Mira'!$H$18*'6.Cibernético'!$C$24*'6.Cibernético'!$D$23*'9.Simulação'!$L$10)+('7.Config'!$F$12*'4.Parâmetros_Verm'!$D$30*'4.Parâmetros_Verm'!$F$30*'4.Parâmetros_Verm'!$G$30*'4.Parâmetros_Verm'!$H$30*'5.Mira'!$H$19*'6.Cibernético'!$C$24*'6.Cibernético'!$D$23*'9.Simulação'!$M$10)+('7.Config'!$F$12*'4.Parâmetros_Verm'!$D$39*'4.Parâmetros_Verm'!$F$39*'4.Parâmetros_Verm'!$G$39*'4.Parâmetros_Verm'!$H$39*'5.Mira'!$H$20*'6.Cibernético'!$C$24*'6.Cibernético'!$D$23*'9.Simulação'!$N$10)+('7.Config'!$F$12*'4.Parâmetros_Verm'!$D$48*'4.Parâmetros_Verm'!$F$48*'4.Parâmetros_Verm'!$G$48*'4.Parâmetros_Verm'!$H$48*'5.Mira'!$H$21*'6.Cibernético'!$C$24*'6.Cibernético'!$D$23*'9.Simulação'!$O$10)</f>
        <v>0.43082202970333289</v>
      </c>
      <c r="G10" s="69">
        <f>('7.Config'!$F$10*'4.Parâmetros_Verm'!$D$12*'4.Parâmetros_Verm'!$F$12*'4.Parâmetros_Verm'!$G$12*'4.Parâmetros_Verm'!$H$12*'5.Mira'!$H$17*'6.Cibernético'!$C$24*'6.Cibernético'!$D$23*'9.Simulação'!$K$11)+('7.Config'!$F$10*'4.Parâmetros_Verm'!$D$21*'4.Parâmetros_Verm'!$F$21*'4.Parâmetros_Verm'!$G$21*'4.Parâmetros_Verm'!$H$21*'5.Mira'!$H$18*'6.Cibernético'!$C$24*'6.Cibernético'!$D$23*'9.Simulação'!$L$11)+('7.Config'!$F$12*'4.Parâmetros_Verm'!$D$30*'4.Parâmetros_Verm'!$F$30*'4.Parâmetros_Verm'!$G$30*'4.Parâmetros_Verm'!$H$30*'5.Mira'!$H$19*'6.Cibernético'!$C$24*'6.Cibernético'!$D$23*'9.Simulação'!$M$11)+('7.Config'!$F$12*'4.Parâmetros_Verm'!$D$39*'4.Parâmetros_Verm'!$F$39*'4.Parâmetros_Verm'!$G$39*'4.Parâmetros_Verm'!$H$39*'5.Mira'!$H$20*'6.Cibernético'!$C$24*'6.Cibernético'!$D$23*'9.Simulação'!$N$11)+('7.Config'!$F$12*'4.Parâmetros_Verm'!$D$48*'4.Parâmetros_Verm'!$F$48*'4.Parâmetros_Verm'!$G$48*'4.Parâmetros_Verm'!$H$48*'5.Mira'!$H$21*'6.Cibernético'!$C$24*'6.Cibernético'!$D$23*'9.Simulação'!$O$11)</f>
        <v>0.42916421185606607</v>
      </c>
      <c r="H10" s="69">
        <f>('7.Config'!$F$10*'4.Parâmetros_Verm'!$D$12*'4.Parâmetros_Verm'!$F$12*'4.Parâmetros_Verm'!$G$12*'4.Parâmetros_Verm'!$H$12*'5.Mira'!$H$17*'6.Cibernético'!$C$24*'6.Cibernético'!$D$23*'9.Simulação'!$K$12)+('7.Config'!$F$10*'4.Parâmetros_Verm'!$D$21*'4.Parâmetros_Verm'!$F$21*'4.Parâmetros_Verm'!$G$21*'4.Parâmetros_Verm'!$H$21*'5.Mira'!$H$18*'6.Cibernético'!$C$24*'6.Cibernético'!$D$23*'9.Simulação'!$L$12)+('7.Config'!$F$12*'4.Parâmetros_Verm'!$D$30*'4.Parâmetros_Verm'!$F$30*'4.Parâmetros_Verm'!$G$30*'4.Parâmetros_Verm'!$H$30*'5.Mira'!$H$19*'6.Cibernético'!$C$24*'6.Cibernético'!$D$23*'9.Simulação'!$M$12)+('7.Config'!$F$12*'4.Parâmetros_Verm'!$D$39*'4.Parâmetros_Verm'!$F$39*'4.Parâmetros_Verm'!$G$39*'4.Parâmetros_Verm'!$H$39*'5.Mira'!$H$20*'6.Cibernético'!$C$24*'6.Cibernético'!$D$23*'9.Simulação'!$N$12)+('7.Config'!$F$12*'4.Parâmetros_Verm'!$D$48*'4.Parâmetros_Verm'!$F$48*'4.Parâmetros_Verm'!$G$48*'4.Parâmetros_Verm'!$H$48*'5.Mira'!$H$21*'6.Cibernético'!$C$24*'6.Cibernético'!$D$23*'9.Simulação'!$O$12)</f>
        <v>0.427495477395963</v>
      </c>
      <c r="I10" s="69">
        <f>('7.Config'!$F$10*'4.Parâmetros_Verm'!$D$12*'4.Parâmetros_Verm'!$F$12*'4.Parâmetros_Verm'!$G$12*'4.Parâmetros_Verm'!$H$12*'5.Mira'!$H$17*'6.Cibernético'!$C$24*'6.Cibernético'!$D$23*'9.Simulação'!$K$13)+('7.Config'!$F$10*'4.Parâmetros_Verm'!$D$21*'4.Parâmetros_Verm'!$F$21*'4.Parâmetros_Verm'!$G$21*'4.Parâmetros_Verm'!$H$21*'5.Mira'!$H$18*'6.Cibernético'!$C$24*'6.Cibernético'!$D$23*'9.Simulação'!$L$13)+('7.Config'!$F$12*'4.Parâmetros_Verm'!$D$30*'4.Parâmetros_Verm'!$F$30*'4.Parâmetros_Verm'!$G$30*'4.Parâmetros_Verm'!$H$30*'5.Mira'!$H$19*'6.Cibernético'!$C$24*'6.Cibernético'!$D$23*'9.Simulação'!$M$13)+('7.Config'!$F$12*'4.Parâmetros_Verm'!$D$39*'4.Parâmetros_Verm'!$F$39*'4.Parâmetros_Verm'!$G$39*'4.Parâmetros_Verm'!$H$39*'5.Mira'!$H$20*'6.Cibernético'!$C$24*'6.Cibernético'!$D$23*'9.Simulação'!$N$13)+('7.Config'!$F$12*'4.Parâmetros_Verm'!$D$48*'4.Parâmetros_Verm'!$F$48*'4.Parâmetros_Verm'!$G$48*'4.Parâmetros_Verm'!$H$48*'5.Mira'!$H$21*'6.Cibernético'!$C$24*'6.Cibernético'!$D$23*'9.Simulação'!$O$13)</f>
        <v>0.4258157045101652</v>
      </c>
      <c r="J10" s="69">
        <f>('7.Config'!$F$10*'4.Parâmetros_Verm'!$D$12*'4.Parâmetros_Verm'!$F$12*'4.Parâmetros_Verm'!$G$12*'4.Parâmetros_Verm'!$H$12*'5.Mira'!$H$17*'6.Cibernético'!$C$24*'6.Cibernético'!$D$23*'9.Simulação'!$K$14)+('7.Config'!$F$10*'4.Parâmetros_Verm'!$D$21*'4.Parâmetros_Verm'!$F$21*'4.Parâmetros_Verm'!$G$21*'4.Parâmetros_Verm'!$H$21*'5.Mira'!$H$18*'6.Cibernético'!$C$24*'6.Cibernético'!$D$23*'9.Simulação'!$L$14)+('7.Config'!$F$12*'4.Parâmetros_Verm'!$D$30*'4.Parâmetros_Verm'!$F$30*'4.Parâmetros_Verm'!$G$30*'4.Parâmetros_Verm'!$H$30*'5.Mira'!$H$19*'6.Cibernético'!$C$24*'6.Cibernético'!$D$23*'9.Simulação'!$M$14)+('7.Config'!$F$12*'4.Parâmetros_Verm'!$D$39*'4.Parâmetros_Verm'!$F$39*'4.Parâmetros_Verm'!$G$39*'4.Parâmetros_Verm'!$H$39*'5.Mira'!$H$20*'6.Cibernético'!$C$24*'6.Cibernético'!$D$23*'9.Simulação'!$N$14)+('7.Config'!$F$12*'4.Parâmetros_Verm'!$D$48*'4.Parâmetros_Verm'!$F$48*'4.Parâmetros_Verm'!$G$48*'4.Parâmetros_Verm'!$H$48*'5.Mira'!$H$21*'6.Cibernético'!$C$24*'6.Cibernético'!$D$23*'9.Simulação'!$O$14)</f>
        <v>0.42412476973404839</v>
      </c>
      <c r="K10" s="69">
        <f>('7.Config'!$F$10*'4.Parâmetros_Verm'!$D$12*'4.Parâmetros_Verm'!$F$12*'4.Parâmetros_Verm'!$G$12*'4.Parâmetros_Verm'!$H$12*'5.Mira'!$H$17*'6.Cibernético'!$C$24*'6.Cibernético'!$D$23*'9.Simulação'!$K$15)+('7.Config'!$F$10*'4.Parâmetros_Verm'!$D$21*'4.Parâmetros_Verm'!$F$21*'4.Parâmetros_Verm'!$G$21*'4.Parâmetros_Verm'!$H$21*'5.Mira'!$H$18*'6.Cibernético'!$C$24*'6.Cibernético'!$D$23*'9.Simulação'!$L$15)+('7.Config'!$F$12*'4.Parâmetros_Verm'!$D$30*'4.Parâmetros_Verm'!$F$30*'4.Parâmetros_Verm'!$G$30*'4.Parâmetros_Verm'!$H$30*'5.Mira'!$H$19*'6.Cibernético'!$C$24*'6.Cibernético'!$D$23*'9.Simulação'!$M$15)+('7.Config'!$F$12*'4.Parâmetros_Verm'!$D$39*'4.Parâmetros_Verm'!$F$39*'4.Parâmetros_Verm'!$G$39*'4.Parâmetros_Verm'!$H$39*'5.Mira'!$H$20*'6.Cibernético'!$C$24*'6.Cibernético'!$D$23*'9.Simulação'!$N$15)+('7.Config'!$F$12*'4.Parâmetros_Verm'!$D$48*'4.Parâmetros_Verm'!$F$48*'4.Parâmetros_Verm'!$G$48*'4.Parâmetros_Verm'!$H$48*'5.Mira'!$H$21*'6.Cibernético'!$C$24*'6.Cibernético'!$D$23*'9.Simulação'!$O$15)</f>
        <v>0.42242254792693829</v>
      </c>
      <c r="L10" s="69">
        <f>('7.Config'!$F$10*'4.Parâmetros_Verm'!$D$12*'4.Parâmetros_Verm'!$F$12*'4.Parâmetros_Verm'!$G$12*'4.Parâmetros_Verm'!$H$12*'5.Mira'!$H$17*'6.Cibernético'!$C$24*'6.Cibernético'!$D$23*'9.Simulação'!$K$16)+('7.Config'!$F$10*'4.Parâmetros_Verm'!$D$21*'4.Parâmetros_Verm'!$F$21*'4.Parâmetros_Verm'!$G$21*'4.Parâmetros_Verm'!$H$21*'5.Mira'!$H$18*'6.Cibernético'!$C$24*'6.Cibernético'!$D$23*'9.Simulação'!$L$16)+('7.Config'!$F$12*'4.Parâmetros_Verm'!$D$30*'4.Parâmetros_Verm'!$F$30*'4.Parâmetros_Verm'!$G$30*'4.Parâmetros_Verm'!$H$30*'5.Mira'!$H$19*'6.Cibernético'!$C$24*'6.Cibernético'!$D$23*'9.Simulação'!$M$16)+('7.Config'!$F$12*'4.Parâmetros_Verm'!$D$39*'4.Parâmetros_Verm'!$F$39*'4.Parâmetros_Verm'!$G$39*'4.Parâmetros_Verm'!$H$39*'5.Mira'!$H$20*'6.Cibernético'!$C$24*'6.Cibernético'!$D$23*'9.Simulação'!$N$16)+('7.Config'!$F$12*'4.Parâmetros_Verm'!$D$48*'4.Parâmetros_Verm'!$F$48*'4.Parâmetros_Verm'!$G$48*'4.Parâmetros_Verm'!$H$48*'5.Mira'!$H$21*'6.Cibernético'!$C$24*'6.Cibernético'!$D$23*'9.Simulação'!$O$16)</f>
        <v>0.42070891224745782</v>
      </c>
    </row>
    <row r="11" spans="1:12" x14ac:dyDescent="0.2">
      <c r="A11" s="68" t="s">
        <v>204</v>
      </c>
      <c r="B11" s="40" t="s">
        <v>94</v>
      </c>
      <c r="C11" s="69">
        <f>('7.Config'!$F$10*'4.Parâmetros_Verm'!$D$13*'4.Parâmetros_Verm'!$F$13*'4.Parâmetros_Verm'!$G$13*'4.Parâmetros_Verm'!$H$13*'5.Mira'!$I$17*'6.Cibernético'!$C$24*'6.Cibernético'!$D$23*'9.Simulação'!$K$7)+('7.Config'!$F$10*'4.Parâmetros_Verm'!$D$22*'4.Parâmetros_Verm'!$F$22*'4.Parâmetros_Verm'!$G$22*'4.Parâmetros_Verm'!$H$22*'5.Mira'!$I$18*'6.Cibernético'!$C$24*'6.Cibernético'!$D$23*'9.Simulação'!$L$7)+('7.Config'!$F$12*'4.Parâmetros_Verm'!$D$31*'4.Parâmetros_Verm'!$F$31*'4.Parâmetros_Verm'!$G$31*'4.Parâmetros_Verm'!$H$31*'5.Mira'!$I$19*'6.Cibernético'!$C$24*'6.Cibernético'!$D$23*'9.Simulação'!$M$7)+('7.Config'!$F$12*'4.Parâmetros_Verm'!$D$40*'4.Parâmetros_Verm'!$F$40*'4.Parâmetros_Verm'!$G$40*'4.Parâmetros_Verm'!$H$40*'5.Mira'!$I$20*'6.Cibernético'!$C$24*'6.Cibernético'!$D$23*'9.Simulação'!$N$7)+('7.Config'!$F$12*'4.Parâmetros_Verm'!$D$49*'4.Parâmetros_Verm'!$F$49*'4.Parâmetros_Verm'!$G$49*'4.Parâmetros_Verm'!$H$49*'5.Mira'!$I$21*'6.Cibernético'!$C$24*'6.Cibernético'!$D$23*'9.Simulação'!$O$7)</f>
        <v>0.43573124999999996</v>
      </c>
      <c r="D11" s="69">
        <f>('7.Config'!$F$10*'4.Parâmetros_Verm'!$D$13*'4.Parâmetros_Verm'!$F$13*'4.Parâmetros_Verm'!$G$13*'4.Parâmetros_Verm'!$H$13*'5.Mira'!$I$17*'6.Cibernético'!$C$24*'6.Cibernético'!$D$23*'9.Simulação'!$K$8)+('7.Config'!$F$10*'4.Parâmetros_Verm'!$D$22*'4.Parâmetros_Verm'!$F$22*'4.Parâmetros_Verm'!$G$22*'4.Parâmetros_Verm'!$H$22*'5.Mira'!$I$18*'6.Cibernético'!$C$24*'6.Cibernético'!$D$23*'9.Simulação'!$L$8)+('7.Config'!$F$12*'4.Parâmetros_Verm'!$D$31*'4.Parâmetros_Verm'!$F$31*'4.Parâmetros_Verm'!$G$31*'4.Parâmetros_Verm'!$H$31*'5.Mira'!$I$19*'6.Cibernético'!$C$24*'6.Cibernético'!$D$23*'9.Simulação'!$M$8)+('7.Config'!$F$12*'4.Parâmetros_Verm'!$D$40*'4.Parâmetros_Verm'!$F$40*'4.Parâmetros_Verm'!$G$40*'4.Parâmetros_Verm'!$H$40*'5.Mira'!$I$20*'6.Cibernético'!$C$24*'6.Cibernético'!$D$23*'9.Simulação'!$N$8)+('7.Config'!$F$12*'4.Parâmetros_Verm'!$D$49*'4.Parâmetros_Verm'!$F$49*'4.Parâmetros_Verm'!$G$49*'4.Parâmetros_Verm'!$H$49*'5.Mira'!$I$21*'6.Cibernético'!$C$24*'6.Cibernético'!$D$23*'9.Simulação'!$O$8)</f>
        <v>0.43410542336748686</v>
      </c>
      <c r="E11" s="69">
        <f>('7.Config'!$F$10*'4.Parâmetros_Verm'!$D$13*'4.Parâmetros_Verm'!$F$13*'4.Parâmetros_Verm'!$G$13*'4.Parâmetros_Verm'!$H$13*'5.Mira'!$I$17*'6.Cibernético'!$C$24*'6.Cibernético'!$D$23*'9.Simulação'!$K$9)+('7.Config'!$F$10*'4.Parâmetros_Verm'!$D$22*'4.Parâmetros_Verm'!$F$22*'4.Parâmetros_Verm'!$G$22*'4.Parâmetros_Verm'!$H$22*'5.Mira'!$I$18*'6.Cibernético'!$C$24*'6.Cibernético'!$D$23*'9.Simulação'!$L$9)+('7.Config'!$F$12*'4.Parâmetros_Verm'!$D$31*'4.Parâmetros_Verm'!$F$31*'4.Parâmetros_Verm'!$G$31*'4.Parâmetros_Verm'!$H$31*'5.Mira'!$I$19*'6.Cibernético'!$C$24*'6.Cibernético'!$D$23*'9.Simulação'!$M$9)+('7.Config'!$F$12*'4.Parâmetros_Verm'!$D$40*'4.Parâmetros_Verm'!$F$40*'4.Parâmetros_Verm'!$G$40*'4.Parâmetros_Verm'!$H$40*'5.Mira'!$I$20*'6.Cibernético'!$C$24*'6.Cibernético'!$D$23*'9.Simulação'!$N$9)+('7.Config'!$F$12*'4.Parâmetros_Verm'!$D$49*'4.Parâmetros_Verm'!$F$49*'4.Parâmetros_Verm'!$G$49*'4.Parâmetros_Verm'!$H$49*'5.Mira'!$I$21*'6.Cibernético'!$C$24*'6.Cibernético'!$D$23*'9.Simulação'!$O$9)</f>
        <v>0.43246905811598824</v>
      </c>
      <c r="F11" s="69">
        <f>('7.Config'!$F$10*'4.Parâmetros_Verm'!$D$13*'4.Parâmetros_Verm'!$F$13*'4.Parâmetros_Verm'!$G$13*'4.Parâmetros_Verm'!$H$13*'5.Mira'!$I$17*'6.Cibernético'!$C$24*'6.Cibernético'!$D$23*'9.Simulação'!$K$10)+('7.Config'!$F$10*'4.Parâmetros_Verm'!$D$22*'4.Parâmetros_Verm'!$F$22*'4.Parâmetros_Verm'!$G$22*'4.Parâmetros_Verm'!$H$22*'5.Mira'!$I$18*'6.Cibernético'!$C$24*'6.Cibernético'!$D$23*'9.Simulação'!$L$10)+('7.Config'!$F$12*'4.Parâmetros_Verm'!$D$31*'4.Parâmetros_Verm'!$F$31*'4.Parâmetros_Verm'!$G$31*'4.Parâmetros_Verm'!$H$31*'5.Mira'!$I$19*'6.Cibernético'!$C$24*'6.Cibernético'!$D$23*'9.Simulação'!$M$10)+('7.Config'!$F$12*'4.Parâmetros_Verm'!$D$40*'4.Parâmetros_Verm'!$F$40*'4.Parâmetros_Verm'!$G$40*'4.Parâmetros_Verm'!$H$40*'5.Mira'!$I$20*'6.Cibernético'!$C$24*'6.Cibernético'!$D$23*'9.Simulação'!$N$10)+('7.Config'!$F$12*'4.Parâmetros_Verm'!$D$49*'4.Parâmetros_Verm'!$F$49*'4.Parâmetros_Verm'!$G$49*'4.Parâmetros_Verm'!$H$49*'5.Mira'!$I$21*'6.Cibernético'!$C$24*'6.Cibernético'!$D$23*'9.Simulação'!$O$10)</f>
        <v>0.43082202970333289</v>
      </c>
      <c r="G11" s="69">
        <f>('7.Config'!$F$10*'4.Parâmetros_Verm'!$D$13*'4.Parâmetros_Verm'!$F$13*'4.Parâmetros_Verm'!$G$13*'4.Parâmetros_Verm'!$H$13*'5.Mira'!$I$17*'6.Cibernético'!$C$24*'6.Cibernético'!$D$23*'9.Simulação'!$K$11)+('7.Config'!$F$10*'4.Parâmetros_Verm'!$D$22*'4.Parâmetros_Verm'!$F$22*'4.Parâmetros_Verm'!$G$22*'4.Parâmetros_Verm'!$H$22*'5.Mira'!$I$18*'6.Cibernético'!$C$24*'6.Cibernético'!$D$23*'9.Simulação'!$L$11)+('7.Config'!$F$12*'4.Parâmetros_Verm'!$D$31*'4.Parâmetros_Verm'!$F$31*'4.Parâmetros_Verm'!$G$31*'4.Parâmetros_Verm'!$H$31*'5.Mira'!$I$19*'6.Cibernético'!$C$24*'6.Cibernético'!$D$23*'9.Simulação'!$M$11)+('7.Config'!$F$12*'4.Parâmetros_Verm'!$D$40*'4.Parâmetros_Verm'!$F$40*'4.Parâmetros_Verm'!$G$40*'4.Parâmetros_Verm'!$H$40*'5.Mira'!$I$20*'6.Cibernético'!$C$24*'6.Cibernético'!$D$23*'9.Simulação'!$N$11)+('7.Config'!$F$12*'4.Parâmetros_Verm'!$D$49*'4.Parâmetros_Verm'!$F$49*'4.Parâmetros_Verm'!$G$49*'4.Parâmetros_Verm'!$H$49*'5.Mira'!$I$21*'6.Cibernético'!$C$24*'6.Cibernético'!$D$23*'9.Simulação'!$O$11)</f>
        <v>0.42916421185606607</v>
      </c>
      <c r="H11" s="69">
        <f>('7.Config'!$F$10*'4.Parâmetros_Verm'!$D$13*'4.Parâmetros_Verm'!$F$13*'4.Parâmetros_Verm'!$G$13*'4.Parâmetros_Verm'!$H$13*'5.Mira'!$I$17*'6.Cibernético'!$C$24*'6.Cibernético'!$D$23*'9.Simulação'!$K$12)+('7.Config'!$F$10*'4.Parâmetros_Verm'!$D$22*'4.Parâmetros_Verm'!$F$22*'4.Parâmetros_Verm'!$G$22*'4.Parâmetros_Verm'!$H$22*'5.Mira'!$I$18*'6.Cibernético'!$C$24*'6.Cibernético'!$D$23*'9.Simulação'!$L$12)+('7.Config'!$F$12*'4.Parâmetros_Verm'!$D$31*'4.Parâmetros_Verm'!$F$31*'4.Parâmetros_Verm'!$G$31*'4.Parâmetros_Verm'!$H$31*'5.Mira'!$I$19*'6.Cibernético'!$C$24*'6.Cibernético'!$D$23*'9.Simulação'!$M$12)+('7.Config'!$F$12*'4.Parâmetros_Verm'!$D$40*'4.Parâmetros_Verm'!$F$40*'4.Parâmetros_Verm'!$G$40*'4.Parâmetros_Verm'!$H$40*'5.Mira'!$I$20*'6.Cibernético'!$C$24*'6.Cibernético'!$D$23*'9.Simulação'!$N$12)+('7.Config'!$F$12*'4.Parâmetros_Verm'!$D$49*'4.Parâmetros_Verm'!$F$49*'4.Parâmetros_Verm'!$G$49*'4.Parâmetros_Verm'!$H$49*'5.Mira'!$I$21*'6.Cibernético'!$C$24*'6.Cibernético'!$D$23*'9.Simulação'!$O$12)</f>
        <v>0.427495477395963</v>
      </c>
      <c r="I11" s="69">
        <f>('7.Config'!$F$10*'4.Parâmetros_Verm'!$D$13*'4.Parâmetros_Verm'!$F$13*'4.Parâmetros_Verm'!$G$13*'4.Parâmetros_Verm'!$H$13*'5.Mira'!$I$17*'6.Cibernético'!$C$24*'6.Cibernético'!$D$23*'9.Simulação'!$K$13)+('7.Config'!$F$10*'4.Parâmetros_Verm'!$D$22*'4.Parâmetros_Verm'!$F$22*'4.Parâmetros_Verm'!$G$22*'4.Parâmetros_Verm'!$H$22*'5.Mira'!$I$18*'6.Cibernético'!$C$24*'6.Cibernético'!$D$23*'9.Simulação'!$L$13)+('7.Config'!$F$12*'4.Parâmetros_Verm'!$D$31*'4.Parâmetros_Verm'!$F$31*'4.Parâmetros_Verm'!$G$31*'4.Parâmetros_Verm'!$H$31*'5.Mira'!$I$19*'6.Cibernético'!$C$24*'6.Cibernético'!$D$23*'9.Simulação'!$M$13)+('7.Config'!$F$12*'4.Parâmetros_Verm'!$D$40*'4.Parâmetros_Verm'!$F$40*'4.Parâmetros_Verm'!$G$40*'4.Parâmetros_Verm'!$H$40*'5.Mira'!$I$20*'6.Cibernético'!$C$24*'6.Cibernético'!$D$23*'9.Simulação'!$N$13)+('7.Config'!$F$12*'4.Parâmetros_Verm'!$D$49*'4.Parâmetros_Verm'!$F$49*'4.Parâmetros_Verm'!$G$49*'4.Parâmetros_Verm'!$H$49*'5.Mira'!$I$21*'6.Cibernético'!$C$24*'6.Cibernético'!$D$23*'9.Simulação'!$O$13)</f>
        <v>0.4258157045101652</v>
      </c>
      <c r="J11" s="69">
        <f>('7.Config'!$F$10*'4.Parâmetros_Verm'!$D$13*'4.Parâmetros_Verm'!$F$13*'4.Parâmetros_Verm'!$G$13*'4.Parâmetros_Verm'!$H$13*'5.Mira'!$I$17*'6.Cibernético'!$C$24*'6.Cibernético'!$D$23*'9.Simulação'!$K$14)+('7.Config'!$F$10*'4.Parâmetros_Verm'!$D$22*'4.Parâmetros_Verm'!$F$22*'4.Parâmetros_Verm'!$G$22*'4.Parâmetros_Verm'!$H$22*'5.Mira'!$I$18*'6.Cibernético'!$C$24*'6.Cibernético'!$D$23*'9.Simulação'!$L$14)+('7.Config'!$F$12*'4.Parâmetros_Verm'!$D$31*'4.Parâmetros_Verm'!$F$31*'4.Parâmetros_Verm'!$G$31*'4.Parâmetros_Verm'!$H$31*'5.Mira'!$I$19*'6.Cibernético'!$C$24*'6.Cibernético'!$D$23*'9.Simulação'!$M$14)+('7.Config'!$F$12*'4.Parâmetros_Verm'!$D$40*'4.Parâmetros_Verm'!$F$40*'4.Parâmetros_Verm'!$G$40*'4.Parâmetros_Verm'!$H$40*'5.Mira'!$I$20*'6.Cibernético'!$C$24*'6.Cibernético'!$D$23*'9.Simulação'!$N$14)+('7.Config'!$F$12*'4.Parâmetros_Verm'!$D$49*'4.Parâmetros_Verm'!$F$49*'4.Parâmetros_Verm'!$G$49*'4.Parâmetros_Verm'!$H$49*'5.Mira'!$I$21*'6.Cibernético'!$C$24*'6.Cibernético'!$D$23*'9.Simulação'!$O$14)</f>
        <v>0.42412476973404839</v>
      </c>
      <c r="K11" s="69">
        <f>('7.Config'!$F$10*'4.Parâmetros_Verm'!$D$13*'4.Parâmetros_Verm'!$F$13*'4.Parâmetros_Verm'!$G$13*'4.Parâmetros_Verm'!$H$13*'5.Mira'!$I$17*'6.Cibernético'!$C$24*'6.Cibernético'!$D$23*'9.Simulação'!$K$15)+('7.Config'!$F$10*'4.Parâmetros_Verm'!$D$22*'4.Parâmetros_Verm'!$F$22*'4.Parâmetros_Verm'!$G$22*'4.Parâmetros_Verm'!$H$22*'5.Mira'!$I$18*'6.Cibernético'!$C$24*'6.Cibernético'!$D$23*'9.Simulação'!$L$15)+('7.Config'!$F$12*'4.Parâmetros_Verm'!$D$31*'4.Parâmetros_Verm'!$F$31*'4.Parâmetros_Verm'!$G$31*'4.Parâmetros_Verm'!$H$31*'5.Mira'!$I$19*'6.Cibernético'!$C$24*'6.Cibernético'!$D$23*'9.Simulação'!$M$15)+('7.Config'!$F$12*'4.Parâmetros_Verm'!$D$40*'4.Parâmetros_Verm'!$F$40*'4.Parâmetros_Verm'!$G$40*'4.Parâmetros_Verm'!$H$40*'5.Mira'!$I$20*'6.Cibernético'!$C$24*'6.Cibernético'!$D$23*'9.Simulação'!$N$15)+('7.Config'!$F$12*'4.Parâmetros_Verm'!$D$49*'4.Parâmetros_Verm'!$F$49*'4.Parâmetros_Verm'!$G$49*'4.Parâmetros_Verm'!$H$49*'5.Mira'!$I$21*'6.Cibernético'!$C$24*'6.Cibernético'!$D$23*'9.Simulação'!$O$15)</f>
        <v>0.42242254792693829</v>
      </c>
      <c r="L11" s="69">
        <f>('7.Config'!$F$10*'4.Parâmetros_Verm'!$D$13*'4.Parâmetros_Verm'!$F$13*'4.Parâmetros_Verm'!$G$13*'4.Parâmetros_Verm'!$H$13*'5.Mira'!$I$17*'6.Cibernético'!$C$24*'6.Cibernético'!$D$23*'9.Simulação'!$K$16)+('7.Config'!$F$10*'4.Parâmetros_Verm'!$D$22*'4.Parâmetros_Verm'!$F$22*'4.Parâmetros_Verm'!$G$22*'4.Parâmetros_Verm'!$H$22*'5.Mira'!$I$18*'6.Cibernético'!$C$24*'6.Cibernético'!$D$23*'9.Simulação'!$L$16)+('7.Config'!$F$12*'4.Parâmetros_Verm'!$D$31*'4.Parâmetros_Verm'!$F$31*'4.Parâmetros_Verm'!$G$31*'4.Parâmetros_Verm'!$H$31*'5.Mira'!$I$19*'6.Cibernético'!$C$24*'6.Cibernético'!$D$23*'9.Simulação'!$M$16)+('7.Config'!$F$12*'4.Parâmetros_Verm'!$D$40*'4.Parâmetros_Verm'!$F$40*'4.Parâmetros_Verm'!$G$40*'4.Parâmetros_Verm'!$H$40*'5.Mira'!$I$20*'6.Cibernético'!$C$24*'6.Cibernético'!$D$23*'9.Simulação'!$N$16)+('7.Config'!$F$12*'4.Parâmetros_Verm'!$D$49*'4.Parâmetros_Verm'!$F$49*'4.Parâmetros_Verm'!$G$49*'4.Parâmetros_Verm'!$H$49*'5.Mira'!$I$21*'6.Cibernético'!$C$24*'6.Cibernético'!$D$23*'9.Simulação'!$O$16)</f>
        <v>0.42070891224745782</v>
      </c>
    </row>
    <row r="12" spans="1:12" x14ac:dyDescent="0.2">
      <c r="A12" s="68" t="s">
        <v>205</v>
      </c>
      <c r="B12" s="40" t="s">
        <v>79</v>
      </c>
      <c r="C12" s="69">
        <f>('7.Config'!$C$10*'3.Parâmetros_Azul'!$E$7*'3.Parâmetros_Azul'!$I$7*'3.Parâmetros_Azul'!$G$7*'5.Mira'!$C$26*'6.Cibernético'!$E$23*'9.Simulação'!$C$7)+('7.Config'!$C$10*'3.Parâmetros_Azul'!$E$8*'3.Parâmetros_Azul'!$I$8*'3.Parâmetros_Azul'!$G$8*'5.Mira'!$D$26*'6.Cibernético'!$E$23*'9.Simulação'!$C$7)+('7.Config'!$C$12*'3.Parâmetros_Azul'!$E$9*'3.Parâmetros_Azul'!$I$9*'3.Parâmetros_Azul'!$G$9*'5.Mira'!$E$26*'6.Cibernético'!$E$23*'9.Simulação'!$C$7)+('7.Config'!$C$12*'3.Parâmetros_Azul'!$E$10*'3.Parâmetros_Azul'!$I$10*'3.Parâmetros_Azul'!$G$10*'5.Mira'!$F$26*'6.Cibernético'!$E$23*'9.Simulação'!$C$7)+('7.Config'!$C$12*'3.Parâmetros_Azul'!$E$11*'3.Parâmetros_Azul'!$I$11*'3.Parâmetros_Azul'!$G$11*'5.Mira'!$G$26*'6.Cibernético'!$E$23*'9.Simulação'!$C$7)</f>
        <v>0.54600639388088512</v>
      </c>
      <c r="D12" s="69">
        <f>('7.Config'!$C$10*'3.Parâmetros_Azul'!$E$7*'3.Parâmetros_Azul'!$I$7*'3.Parâmetros_Azul'!$G$7*'5.Mira'!$C$26*'6.Cibernético'!$E$23*'9.Simulação'!$C$8)+('7.Config'!$C$10*'3.Parâmetros_Azul'!$E$8*'3.Parâmetros_Azul'!$I$8*'3.Parâmetros_Azul'!$G$8*'5.Mira'!$D$26*'6.Cibernético'!$E$23*'9.Simulação'!$C$8)+('7.Config'!$C$12*'3.Parâmetros_Azul'!$E$9*'3.Parâmetros_Azul'!$I$9*'3.Parâmetros_Azul'!$G$9*'5.Mira'!$E$26*'6.Cibernético'!$E$23*'9.Simulação'!$C$8)+('7.Config'!$C$12*'3.Parâmetros_Azul'!$E$10*'3.Parâmetros_Azul'!$I$10*'3.Parâmetros_Azul'!$G$10*'5.Mira'!$F$26*'6.Cibernético'!$E$23*'9.Simulação'!$C$8)+('7.Config'!$C$12*'3.Parâmetros_Azul'!$E$11*'3.Parâmetros_Azul'!$I$11*'3.Parâmetros_Azul'!$G$11*'5.Mira'!$G$26*'6.Cibernético'!$E$23*'9.Simulação'!$C$8)</f>
        <v>0.54192548937046792</v>
      </c>
      <c r="E12" s="69">
        <f>('7.Config'!$C$10*'3.Parâmetros_Azul'!$E$7*'3.Parâmetros_Azul'!$I$7*'3.Parâmetros_Azul'!$G$7*'5.Mira'!$C$26*'6.Cibernético'!$E$23*'9.Simulação'!$C$9)+('7.Config'!$C$10*'3.Parâmetros_Azul'!$E$8*'3.Parâmetros_Azul'!$I$8*'3.Parâmetros_Azul'!$G$8*'5.Mira'!$D$26*'6.Cibernético'!$E$23*'9.Simulação'!$C$9)+('7.Config'!$C$12*'3.Parâmetros_Azul'!$E$9*'3.Parâmetros_Azul'!$I$9*'3.Parâmetros_Azul'!$G$9*'5.Mira'!$E$26*'6.Cibernético'!$E$23*'9.Simulação'!$C$9)+('7.Config'!$C$12*'3.Parâmetros_Azul'!$E$10*'3.Parâmetros_Azul'!$I$10*'3.Parâmetros_Azul'!$G$10*'5.Mira'!$F$26*'6.Cibernético'!$E$23*'9.Simulação'!$C$9)+('7.Config'!$C$12*'3.Parâmetros_Azul'!$E$11*'3.Parâmetros_Azul'!$I$11*'3.Parâmetros_Azul'!$G$11*'5.Mira'!$G$26*'6.Cibernético'!$E$23*'9.Simulação'!$C$9)</f>
        <v>0.53784032640659607</v>
      </c>
      <c r="F12" s="69">
        <f>('7.Config'!$C$10*'3.Parâmetros_Azul'!$E$7*'3.Parâmetros_Azul'!$I$7*'3.Parâmetros_Azul'!$G$7*'5.Mira'!$C$26*'6.Cibernético'!$E$23*'9.Simulação'!$C$10)+('7.Config'!$C$10*'3.Parâmetros_Azul'!$E$8*'3.Parâmetros_Azul'!$I$8*'3.Parâmetros_Azul'!$G$8*'5.Mira'!$D$26*'6.Cibernético'!$E$23*'9.Simulação'!$C$10)+('7.Config'!$C$12*'3.Parâmetros_Azul'!$E$9*'3.Parâmetros_Azul'!$I$9*'3.Parâmetros_Azul'!$G$9*'5.Mira'!$E$26*'6.Cibernético'!$E$23*'9.Simulação'!$C$10)+('7.Config'!$C$12*'3.Parâmetros_Azul'!$E$10*'3.Parâmetros_Azul'!$I$10*'3.Parâmetros_Azul'!$G$10*'5.Mira'!$F$26*'6.Cibernético'!$E$23*'9.Simulação'!$C$10)+('7.Config'!$C$12*'3.Parâmetros_Azul'!$E$11*'3.Parâmetros_Azul'!$I$11*'3.Parâmetros_Azul'!$G$11*'5.Mira'!$G$26*'6.Cibernético'!$E$23*'9.Simulação'!$C$10)</f>
        <v>0.5337510793536796</v>
      </c>
      <c r="G12" s="69">
        <f>('7.Config'!$C$10*'3.Parâmetros_Azul'!$E$7*'3.Parâmetros_Azul'!$I$7*'3.Parâmetros_Azul'!$G$7*'5.Mira'!$C$26*'6.Cibernético'!$E$23*'9.Simulação'!$C$11)+('7.Config'!$C$10*'3.Parâmetros_Azul'!$E$8*'3.Parâmetros_Azul'!$I$8*'3.Parâmetros_Azul'!$G$8*'5.Mira'!$D$26*'6.Cibernético'!$E$23*'9.Simulação'!$C$11)+('7.Config'!$C$12*'3.Parâmetros_Azul'!$E$9*'3.Parâmetros_Azul'!$I$9*'3.Parâmetros_Azul'!$G$9*'5.Mira'!$E$26*'6.Cibernético'!$E$23*'9.Simulação'!$C$11)+('7.Config'!$C$12*'3.Parâmetros_Azul'!$E$10*'3.Parâmetros_Azul'!$I$10*'3.Parâmetros_Azul'!$G$10*'5.Mira'!$F$26*'6.Cibernético'!$E$23*'9.Simulação'!$C$11)+('7.Config'!$C$12*'3.Parâmetros_Azul'!$E$11*'3.Parâmetros_Azul'!$I$11*'3.Parâmetros_Azul'!$G$11*'5.Mira'!$G$26*'6.Cibernético'!$E$23*'9.Simulação'!$C$11)</f>
        <v>0.52965792668141265</v>
      </c>
      <c r="H12" s="69">
        <f>('7.Config'!$C$10*'3.Parâmetros_Azul'!$E$7*'3.Parâmetros_Azul'!$I$7*'3.Parâmetros_Azul'!$G$7*'5.Mira'!$C$26*'6.Cibernético'!$E$23*'9.Simulação'!$C$12)+('7.Config'!$C$10*'3.Parâmetros_Azul'!$E$8*'3.Parâmetros_Azul'!$I$8*'3.Parâmetros_Azul'!$G$8*'5.Mira'!$D$26*'6.Cibernético'!$E$23*'9.Simulação'!$C$12)+('7.Config'!$C$12*'3.Parâmetros_Azul'!$E$9*'3.Parâmetros_Azul'!$I$9*'3.Parâmetros_Azul'!$G$9*'5.Mira'!$E$26*'6.Cibernético'!$E$23*'9.Simulação'!$C$12)+('7.Config'!$C$12*'3.Parâmetros_Azul'!$E$10*'3.Parâmetros_Azul'!$I$10*'3.Parâmetros_Azul'!$G$10*'5.Mira'!$F$26*'6.Cibernético'!$E$23*'9.Simulação'!$C$12)+('7.Config'!$C$12*'3.Parâmetros_Azul'!$E$11*'3.Parâmetros_Azul'!$I$11*'3.Parâmetros_Azul'!$G$11*'5.Mira'!$G$26*'6.Cibernético'!$E$23*'9.Simulação'!$C$12)</f>
        <v>0.52556105103714268</v>
      </c>
      <c r="I12" s="69">
        <f>('7.Config'!$C$10*'3.Parâmetros_Azul'!$E$7*'3.Parâmetros_Azul'!$I$7*'3.Parâmetros_Azul'!$G$7*'5.Mira'!$C$26*'6.Cibernético'!$E$23*'9.Simulação'!$C$13)+('7.Config'!$C$10*'3.Parâmetros_Azul'!$E$8*'3.Parâmetros_Azul'!$I$8*'3.Parâmetros_Azul'!$G$8*'5.Mira'!$D$26*'6.Cibernético'!$E$23*'9.Simulação'!$C$13)+('7.Config'!$C$12*'3.Parâmetros_Azul'!$E$9*'3.Parâmetros_Azul'!$I$9*'3.Parâmetros_Azul'!$G$9*'5.Mira'!$E$26*'6.Cibernético'!$E$23*'9.Simulação'!$C$13)+('7.Config'!$C$12*'3.Parâmetros_Azul'!$E$10*'3.Parâmetros_Azul'!$I$10*'3.Parâmetros_Azul'!$G$10*'5.Mira'!$F$26*'6.Cibernético'!$E$23*'9.Simulação'!$C$13)+('7.Config'!$C$12*'3.Parâmetros_Azul'!$E$11*'3.Parâmetros_Azul'!$I$11*'3.Parâmetros_Azul'!$G$11*'5.Mira'!$G$26*'6.Cibernético'!$E$23*'9.Simulação'!$C$13)</f>
        <v>0.52146063930218312</v>
      </c>
      <c r="J12" s="69">
        <f>('7.Config'!$C$10*'3.Parâmetros_Azul'!$E$7*'3.Parâmetros_Azul'!$I$7*'3.Parâmetros_Azul'!$G$7*'5.Mira'!$C$26*'6.Cibernético'!$E$23*'9.Simulação'!$C$14)+('7.Config'!$C$10*'3.Parâmetros_Azul'!$E$8*'3.Parâmetros_Azul'!$I$8*'3.Parâmetros_Azul'!$G$8*'5.Mira'!$D$26*'6.Cibernético'!$E$23*'9.Simulação'!$C$14)+('7.Config'!$C$12*'3.Parâmetros_Azul'!$E$9*'3.Parâmetros_Azul'!$I$9*'3.Parâmetros_Azul'!$G$9*'5.Mira'!$E$26*'6.Cibernético'!$E$23*'9.Simulação'!$C$14)+('7.Config'!$C$12*'3.Parâmetros_Azul'!$E$10*'3.Parâmetros_Azul'!$I$10*'3.Parâmetros_Azul'!$G$10*'5.Mira'!$F$26*'6.Cibernético'!$E$23*'9.Simulação'!$C$14)+('7.Config'!$C$12*'3.Parâmetros_Azul'!$E$11*'3.Parâmetros_Azul'!$I$11*'3.Parâmetros_Azul'!$G$11*'5.Mira'!$G$26*'6.Cibernético'!$E$23*'9.Simulação'!$C$14)</f>
        <v>0.51735688252184364</v>
      </c>
      <c r="K12" s="69">
        <f>('7.Config'!$C$10*'3.Parâmetros_Azul'!$E$7*'3.Parâmetros_Azul'!$I$7*'3.Parâmetros_Azul'!$G$7*'5.Mira'!$C$26*'6.Cibernético'!$E$23*'9.Simulação'!$C$15)+('7.Config'!$C$10*'3.Parâmetros_Azul'!$E$8*'3.Parâmetros_Azul'!$I$8*'3.Parâmetros_Azul'!$G$8*'5.Mira'!$D$26*'6.Cibernético'!$E$23*'9.Simulação'!$C$15)+('7.Config'!$C$12*'3.Parâmetros_Azul'!$E$9*'3.Parâmetros_Azul'!$I$9*'3.Parâmetros_Azul'!$G$9*'5.Mira'!$E$26*'6.Cibernético'!$E$23*'9.Simulação'!$C$15)+('7.Config'!$C$12*'3.Parâmetros_Azul'!$E$10*'3.Parâmetros_Azul'!$I$10*'3.Parâmetros_Azul'!$G$10*'5.Mira'!$F$26*'6.Cibernético'!$E$23*'9.Simulação'!$C$15)+('7.Config'!$C$12*'3.Parâmetros_Azul'!$E$11*'3.Parâmetros_Azul'!$I$11*'3.Parâmetros_Azul'!$G$11*'5.Mira'!$G$26*'6.Cibernético'!$E$23*'9.Simulação'!$C$15)</f>
        <v>0.5132499759767245</v>
      </c>
      <c r="L12" s="69">
        <f>('7.Config'!$C$10*'3.Parâmetros_Azul'!$E$7*'3.Parâmetros_Azul'!$I$7*'3.Parâmetros_Azul'!$G$7*'5.Mira'!$C$26*'6.Cibernético'!$E$23*'9.Simulação'!$C$16)+('7.Config'!$C$10*'3.Parâmetros_Azul'!$E$8*'3.Parâmetros_Azul'!$I$8*'3.Parâmetros_Azul'!$G$8*'5.Mira'!$D$26*'6.Cibernético'!$E$23*'9.Simulação'!$C$16)+('7.Config'!$C$12*'3.Parâmetros_Azul'!$E$9*'3.Parâmetros_Azul'!$I$9*'3.Parâmetros_Azul'!$G$9*'5.Mira'!$E$26*'6.Cibernético'!$E$23*'9.Simulação'!$C$16)+('7.Config'!$C$12*'3.Parâmetros_Azul'!$E$10*'3.Parâmetros_Azul'!$I$10*'3.Parâmetros_Azul'!$G$10*'5.Mira'!$F$26*'6.Cibernético'!$E$23*'9.Simulação'!$C$16)+('7.Config'!$C$12*'3.Parâmetros_Azul'!$E$11*'3.Parâmetros_Azul'!$I$11*'3.Parâmetros_Azul'!$G$11*'5.Mira'!$G$26*'6.Cibernético'!$E$23*'9.Simulação'!$C$16)</f>
        <v>0.50914011925515212</v>
      </c>
    </row>
    <row r="13" spans="1:12" x14ac:dyDescent="0.2">
      <c r="A13" s="68" t="s">
        <v>205</v>
      </c>
      <c r="B13" s="40" t="s">
        <v>82</v>
      </c>
      <c r="C13" s="69">
        <f>('7.Config'!$C$10*'3.Parâmetros_Azul'!$E$14*'3.Parâmetros_Azul'!$I$14*'3.Parâmetros_Azul'!$G$14*'5.Mira'!$C$27*'6.Cibernético'!$E$23*'9.Simulação'!$D$7)+('7.Config'!$C$10*'3.Parâmetros_Azul'!$E$15*'3.Parâmetros_Azul'!$I$15*'3.Parâmetros_Azul'!$G$15*'5.Mira'!$D$27*'6.Cibernético'!$E$23*'9.Simulação'!$D$7)+('7.Config'!$C$12*'3.Parâmetros_Azul'!$E$16*'3.Parâmetros_Azul'!$I$16*'3.Parâmetros_Azul'!$G$16*'5.Mira'!$E$27*'6.Cibernético'!$E$23*'9.Simulação'!$D$7)+('7.Config'!$C$12*'3.Parâmetros_Azul'!$E$17*'3.Parâmetros_Azul'!$I$17*'3.Parâmetros_Azul'!$G$17*'5.Mira'!$F$27*'6.Cibernético'!$E$23*'9.Simulação'!$D$7)+('7.Config'!$C$12*'3.Parâmetros_Azul'!$E$18*'3.Parâmetros_Azul'!$I$18*'3.Parâmetros_Azul'!$G$18*'5.Mira'!$G$27*'6.Cibernético'!$E$23*'9.Simulação'!$D$7)</f>
        <v>0.54600639388088512</v>
      </c>
      <c r="D13" s="69">
        <f>('7.Config'!$C$10*'3.Parâmetros_Azul'!$E$14*'3.Parâmetros_Azul'!$I$14*'3.Parâmetros_Azul'!$G$14*'5.Mira'!$C$27*'6.Cibernético'!$E$23*'9.Simulação'!$D$8)+('7.Config'!$C$10*'3.Parâmetros_Azul'!$E$15*'3.Parâmetros_Azul'!$I$15*'3.Parâmetros_Azul'!$G$15*'5.Mira'!$D$27*'6.Cibernético'!$E$23*'9.Simulação'!$D$8)+('7.Config'!$C$12*'3.Parâmetros_Azul'!$E$16*'3.Parâmetros_Azul'!$I$16*'3.Parâmetros_Azul'!$G$16*'5.Mira'!$E$27*'6.Cibernético'!$E$23*'9.Simulação'!$D$8)+('7.Config'!$C$12*'3.Parâmetros_Azul'!$E$17*'3.Parâmetros_Azul'!$I$17*'3.Parâmetros_Azul'!$G$17*'5.Mira'!$F$27*'6.Cibernético'!$E$23*'9.Simulação'!$D$8)+('7.Config'!$C$12*'3.Parâmetros_Azul'!$E$18*'3.Parâmetros_Azul'!$I$18*'3.Parâmetros_Azul'!$G$18*'5.Mira'!$G$27*'6.Cibernético'!$E$23*'9.Simulação'!$D$8)</f>
        <v>0.54192548937046792</v>
      </c>
      <c r="E13" s="69">
        <f>('7.Config'!$C$10*'3.Parâmetros_Azul'!$E$14*'3.Parâmetros_Azul'!$I$14*'3.Parâmetros_Azul'!$G$14*'5.Mira'!$C$27*'6.Cibernético'!$E$23*'9.Simulação'!$D$9)+('7.Config'!$C$10*'3.Parâmetros_Azul'!$E$15*'3.Parâmetros_Azul'!$I$15*'3.Parâmetros_Azul'!$G$15*'5.Mira'!$D$27*'6.Cibernético'!$E$23*'9.Simulação'!$D$9)+('7.Config'!$C$12*'3.Parâmetros_Azul'!$E$16*'3.Parâmetros_Azul'!$I$16*'3.Parâmetros_Azul'!$G$16*'5.Mira'!$E$27*'6.Cibernético'!$E$23*'9.Simulação'!$D$9)+('7.Config'!$C$12*'3.Parâmetros_Azul'!$E$17*'3.Parâmetros_Azul'!$I$17*'3.Parâmetros_Azul'!$G$17*'5.Mira'!$F$27*'6.Cibernético'!$E$23*'9.Simulação'!$D$9)+('7.Config'!$C$12*'3.Parâmetros_Azul'!$E$18*'3.Parâmetros_Azul'!$I$18*'3.Parâmetros_Azul'!$G$18*'5.Mira'!$G$27*'6.Cibernético'!$E$23*'9.Simulação'!$D$9)</f>
        <v>0.53784032640659607</v>
      </c>
      <c r="F13" s="69">
        <f>('7.Config'!$C$10*'3.Parâmetros_Azul'!$E$14*'3.Parâmetros_Azul'!$I$14*'3.Parâmetros_Azul'!$G$14*'5.Mira'!$C$27*'6.Cibernético'!$E$23*'9.Simulação'!$D$10)+('7.Config'!$C$10*'3.Parâmetros_Azul'!$E$15*'3.Parâmetros_Azul'!$I$15*'3.Parâmetros_Azul'!$G$15*'5.Mira'!$D$27*'6.Cibernético'!$E$23*'9.Simulação'!$D$10)+('7.Config'!$C$12*'3.Parâmetros_Azul'!$E$16*'3.Parâmetros_Azul'!$I$16*'3.Parâmetros_Azul'!$G$16*'5.Mira'!$E$27*'6.Cibernético'!$E$23*'9.Simulação'!$D$10)+('7.Config'!$C$12*'3.Parâmetros_Azul'!$E$17*'3.Parâmetros_Azul'!$I$17*'3.Parâmetros_Azul'!$G$17*'5.Mira'!$F$27*'6.Cibernético'!$E$23*'9.Simulação'!$D$10)+('7.Config'!$C$12*'3.Parâmetros_Azul'!$E$18*'3.Parâmetros_Azul'!$I$18*'3.Parâmetros_Azul'!$G$18*'5.Mira'!$G$27*'6.Cibernético'!$E$23*'9.Simulação'!$D$10)</f>
        <v>0.5337510793536796</v>
      </c>
      <c r="G13" s="69">
        <f>('7.Config'!$C$10*'3.Parâmetros_Azul'!$E$14*'3.Parâmetros_Azul'!$I$14*'3.Parâmetros_Azul'!$G$14*'5.Mira'!$C$27*'6.Cibernético'!$E$23*'9.Simulação'!$D$11)+('7.Config'!$C$10*'3.Parâmetros_Azul'!$E$15*'3.Parâmetros_Azul'!$I$15*'3.Parâmetros_Azul'!$G$15*'5.Mira'!$D$27*'6.Cibernético'!$E$23*'9.Simulação'!$D$11)+('7.Config'!$C$12*'3.Parâmetros_Azul'!$E$16*'3.Parâmetros_Azul'!$I$16*'3.Parâmetros_Azul'!$G$16*'5.Mira'!$E$27*'6.Cibernético'!$E$23*'9.Simulação'!$D$11)+('7.Config'!$C$12*'3.Parâmetros_Azul'!$E$17*'3.Parâmetros_Azul'!$I$17*'3.Parâmetros_Azul'!$G$17*'5.Mira'!$F$27*'6.Cibernético'!$E$23*'9.Simulação'!$D$11)+('7.Config'!$C$12*'3.Parâmetros_Azul'!$E$18*'3.Parâmetros_Azul'!$I$18*'3.Parâmetros_Azul'!$G$18*'5.Mira'!$G$27*'6.Cibernético'!$E$23*'9.Simulação'!$D$11)</f>
        <v>0.52965792668141265</v>
      </c>
      <c r="H13" s="69">
        <f>('7.Config'!$C$10*'3.Parâmetros_Azul'!$E$14*'3.Parâmetros_Azul'!$I$14*'3.Parâmetros_Azul'!$G$14*'5.Mira'!$C$27*'6.Cibernético'!$E$23*'9.Simulação'!$D$12)+('7.Config'!$C$10*'3.Parâmetros_Azul'!$E$15*'3.Parâmetros_Azul'!$I$15*'3.Parâmetros_Azul'!$G$15*'5.Mira'!$D$27*'6.Cibernético'!$E$23*'9.Simulação'!$D$12)+('7.Config'!$C$12*'3.Parâmetros_Azul'!$E$16*'3.Parâmetros_Azul'!$I$16*'3.Parâmetros_Azul'!$G$16*'5.Mira'!$E$27*'6.Cibernético'!$E$23*'9.Simulação'!$D$12)+('7.Config'!$C$12*'3.Parâmetros_Azul'!$E$17*'3.Parâmetros_Azul'!$I$17*'3.Parâmetros_Azul'!$G$17*'5.Mira'!$F$27*'6.Cibernético'!$E$23*'9.Simulação'!$D$12)+('7.Config'!$C$12*'3.Parâmetros_Azul'!$E$18*'3.Parâmetros_Azul'!$I$18*'3.Parâmetros_Azul'!$G$18*'5.Mira'!$G$27*'6.Cibernético'!$E$23*'9.Simulação'!$D$12)</f>
        <v>0.52556105103714268</v>
      </c>
      <c r="I13" s="69">
        <f>('7.Config'!$C$10*'3.Parâmetros_Azul'!$E$14*'3.Parâmetros_Azul'!$I$14*'3.Parâmetros_Azul'!$G$14*'5.Mira'!$C$27*'6.Cibernético'!$E$23*'9.Simulação'!$D$13)+('7.Config'!$C$10*'3.Parâmetros_Azul'!$E$15*'3.Parâmetros_Azul'!$I$15*'3.Parâmetros_Azul'!$G$15*'5.Mira'!$D$27*'6.Cibernético'!$E$23*'9.Simulação'!$D$13)+('7.Config'!$C$12*'3.Parâmetros_Azul'!$E$16*'3.Parâmetros_Azul'!$I$16*'3.Parâmetros_Azul'!$G$16*'5.Mira'!$E$27*'6.Cibernético'!$E$23*'9.Simulação'!$D$13)+('7.Config'!$C$12*'3.Parâmetros_Azul'!$E$17*'3.Parâmetros_Azul'!$I$17*'3.Parâmetros_Azul'!$G$17*'5.Mira'!$F$27*'6.Cibernético'!$E$23*'9.Simulação'!$D$13)+('7.Config'!$C$12*'3.Parâmetros_Azul'!$E$18*'3.Parâmetros_Azul'!$I$18*'3.Parâmetros_Azul'!$G$18*'5.Mira'!$G$27*'6.Cibernético'!$E$23*'9.Simulação'!$D$13)</f>
        <v>0.52146063930218312</v>
      </c>
      <c r="J13" s="69">
        <f>('7.Config'!$C$10*'3.Parâmetros_Azul'!$E$14*'3.Parâmetros_Azul'!$I$14*'3.Parâmetros_Azul'!$G$14*'5.Mira'!$C$27*'6.Cibernético'!$E$23*'9.Simulação'!$D$14)+('7.Config'!$C$10*'3.Parâmetros_Azul'!$E$15*'3.Parâmetros_Azul'!$I$15*'3.Parâmetros_Azul'!$G$15*'5.Mira'!$D$27*'6.Cibernético'!$E$23*'9.Simulação'!$D$14)+('7.Config'!$C$12*'3.Parâmetros_Azul'!$E$16*'3.Parâmetros_Azul'!$I$16*'3.Parâmetros_Azul'!$G$16*'5.Mira'!$E$27*'6.Cibernético'!$E$23*'9.Simulação'!$D$14)+('7.Config'!$C$12*'3.Parâmetros_Azul'!$E$17*'3.Parâmetros_Azul'!$I$17*'3.Parâmetros_Azul'!$G$17*'5.Mira'!$F$27*'6.Cibernético'!$E$23*'9.Simulação'!$D$14)+('7.Config'!$C$12*'3.Parâmetros_Azul'!$E$18*'3.Parâmetros_Azul'!$I$18*'3.Parâmetros_Azul'!$G$18*'5.Mira'!$G$27*'6.Cibernético'!$E$23*'9.Simulação'!$D$14)</f>
        <v>0.51735688252184364</v>
      </c>
      <c r="K13" s="69">
        <f>('7.Config'!$C$10*'3.Parâmetros_Azul'!$E$14*'3.Parâmetros_Azul'!$I$14*'3.Parâmetros_Azul'!$G$14*'5.Mira'!$C$27*'6.Cibernético'!$E$23*'9.Simulação'!$D$15)+('7.Config'!$C$10*'3.Parâmetros_Azul'!$E$15*'3.Parâmetros_Azul'!$I$15*'3.Parâmetros_Azul'!$G$15*'5.Mira'!$D$27*'6.Cibernético'!$E$23*'9.Simulação'!$D$15)+('7.Config'!$C$12*'3.Parâmetros_Azul'!$E$16*'3.Parâmetros_Azul'!$I$16*'3.Parâmetros_Azul'!$G$16*'5.Mira'!$E$27*'6.Cibernético'!$E$23*'9.Simulação'!$D$15)+('7.Config'!$C$12*'3.Parâmetros_Azul'!$E$17*'3.Parâmetros_Azul'!$I$17*'3.Parâmetros_Azul'!$G$17*'5.Mira'!$F$27*'6.Cibernético'!$E$23*'9.Simulação'!$D$15)+('7.Config'!$C$12*'3.Parâmetros_Azul'!$E$18*'3.Parâmetros_Azul'!$I$18*'3.Parâmetros_Azul'!$G$18*'5.Mira'!$G$27*'6.Cibernético'!$E$23*'9.Simulação'!$D$15)</f>
        <v>0.5132499759767245</v>
      </c>
      <c r="L13" s="69">
        <f>('7.Config'!$C$10*'3.Parâmetros_Azul'!$E$14*'3.Parâmetros_Azul'!$I$14*'3.Parâmetros_Azul'!$G$14*'5.Mira'!$C$27*'6.Cibernético'!$E$23*'9.Simulação'!$D$16)+('7.Config'!$C$10*'3.Parâmetros_Azul'!$E$15*'3.Parâmetros_Azul'!$I$15*'3.Parâmetros_Azul'!$G$15*'5.Mira'!$D$27*'6.Cibernético'!$E$23*'9.Simulação'!$D$16)+('7.Config'!$C$12*'3.Parâmetros_Azul'!$E$16*'3.Parâmetros_Azul'!$I$16*'3.Parâmetros_Azul'!$G$16*'5.Mira'!$E$27*'6.Cibernético'!$E$23*'9.Simulação'!$D$16)+('7.Config'!$C$12*'3.Parâmetros_Azul'!$E$17*'3.Parâmetros_Azul'!$I$17*'3.Parâmetros_Azul'!$G$17*'5.Mira'!$F$27*'6.Cibernético'!$E$23*'9.Simulação'!$D$16)+('7.Config'!$C$12*'3.Parâmetros_Azul'!$E$18*'3.Parâmetros_Azul'!$I$18*'3.Parâmetros_Azul'!$G$18*'5.Mira'!$G$27*'6.Cibernético'!$E$23*'9.Simulação'!$D$16)</f>
        <v>0.50914011925515212</v>
      </c>
    </row>
    <row r="14" spans="1:12" x14ac:dyDescent="0.2">
      <c r="A14" s="68" t="s">
        <v>205</v>
      </c>
      <c r="B14" s="40" t="s">
        <v>84</v>
      </c>
      <c r="C14" s="69">
        <f>('7.Config'!$D$10*'3.Parâmetros_Azul'!$E$21*'3.Parâmetros_Azul'!$I$21*'3.Parâmetros_Azul'!$G$21*'5.Mira'!$C$28*'6.Cibernético'!$E$25*'9.Simulação'!$E$7)+('7.Config'!$D$10*'3.Parâmetros_Azul'!$E$22*'3.Parâmetros_Azul'!$I$22*'3.Parâmetros_Azul'!$G$22*'5.Mira'!$D$28*'6.Cibernético'!$E$25*'9.Simulação'!$E$7)+('7.Config'!$D$12*'3.Parâmetros_Azul'!$E$23*'3.Parâmetros_Azul'!$I$23*'3.Parâmetros_Azul'!$G$23*'5.Mira'!$E$28*'6.Cibernético'!$E$25*'9.Simulação'!$E$7)+('7.Config'!$D$12*'3.Parâmetros_Azul'!$E$24*'3.Parâmetros_Azul'!$I$24*'3.Parâmetros_Azul'!$G$24*'5.Mira'!$F$28*'6.Cibernético'!$E$25*'9.Simulação'!$E$7)+('7.Config'!$D$12*'3.Parâmetros_Azul'!$E$25*'3.Parâmetros_Azul'!$I$25*'3.Parâmetros_Azul'!$G$25*'5.Mira'!$G$28*'6.Cibernético'!$E$25*'9.Simulação'!$E$7)</f>
        <v>7.2000000000000008E-2</v>
      </c>
      <c r="D14" s="69">
        <f>('7.Config'!$D$10*'3.Parâmetros_Azul'!$E$21*'3.Parâmetros_Azul'!$I$21*'3.Parâmetros_Azul'!$G$21*'5.Mira'!$C$28*'6.Cibernético'!$E$25*'9.Simulação'!$E$8)+('7.Config'!$D$10*'3.Parâmetros_Azul'!$E$22*'3.Parâmetros_Azul'!$I$22*'3.Parâmetros_Azul'!$G$22*'5.Mira'!$D$28*'6.Cibernético'!$E$25*'9.Simulação'!$E$8)+('7.Config'!$D$12*'3.Parâmetros_Azul'!$E$23*'3.Parâmetros_Azul'!$I$23*'3.Parâmetros_Azul'!$G$23*'5.Mira'!$E$28*'6.Cibernético'!$E$25*'9.Simulação'!$E$8)+('7.Config'!$D$12*'3.Parâmetros_Azul'!$E$24*'3.Parâmetros_Azul'!$I$24*'3.Parâmetros_Azul'!$G$24*'5.Mira'!$F$28*'6.Cibernético'!$E$25*'9.Simulação'!$E$8)+('7.Config'!$D$12*'3.Parâmetros_Azul'!$E$25*'3.Parâmetros_Azul'!$I$25*'3.Parâmetros_Azul'!$G$25*'5.Mira'!$G$28*'6.Cibernético'!$E$25*'9.Simulação'!$E$8)</f>
        <v>7.1952396000000002E-2</v>
      </c>
      <c r="E14" s="69">
        <f>('7.Config'!$D$10*'3.Parâmetros_Azul'!$E$21*'3.Parâmetros_Azul'!$I$21*'3.Parâmetros_Azul'!$G$21*'5.Mira'!$C$28*'6.Cibernético'!$E$25*'9.Simulação'!$E$9)+('7.Config'!$D$10*'3.Parâmetros_Azul'!$E$22*'3.Parâmetros_Azul'!$I$22*'3.Parâmetros_Azul'!$G$22*'5.Mira'!$D$28*'6.Cibernético'!$E$25*'9.Simulação'!$E$9)+('7.Config'!$D$12*'3.Parâmetros_Azul'!$E$23*'3.Parâmetros_Azul'!$I$23*'3.Parâmetros_Azul'!$G$23*'5.Mira'!$E$28*'6.Cibernético'!$E$25*'9.Simulação'!$E$9)+('7.Config'!$D$12*'3.Parâmetros_Azul'!$E$24*'3.Parâmetros_Azul'!$I$24*'3.Parâmetros_Azul'!$G$24*'5.Mira'!$F$28*'6.Cibernético'!$E$25*'9.Simulação'!$E$9)+('7.Config'!$D$12*'3.Parâmetros_Azul'!$E$25*'3.Parâmetros_Azul'!$I$25*'3.Parâmetros_Azul'!$G$25*'5.Mira'!$G$28*'6.Cibernético'!$E$25*'9.Simulação'!$E$9)</f>
        <v>7.1905310310803133E-2</v>
      </c>
      <c r="F14" s="69">
        <f>('7.Config'!$D$10*'3.Parâmetros_Azul'!$E$21*'3.Parâmetros_Azul'!$I$21*'3.Parâmetros_Azul'!$G$21*'5.Mira'!$C$28*'6.Cibernético'!$E$25*'9.Simulação'!$E$10)+('7.Config'!$D$10*'3.Parâmetros_Azul'!$E$22*'3.Parâmetros_Azul'!$I$22*'3.Parâmetros_Azul'!$G$22*'5.Mira'!$D$28*'6.Cibernético'!$E$25*'9.Simulação'!$E$10)+('7.Config'!$D$12*'3.Parâmetros_Azul'!$E$23*'3.Parâmetros_Azul'!$I$23*'3.Parâmetros_Azul'!$G$23*'5.Mira'!$E$28*'6.Cibernético'!$E$25*'9.Simulação'!$E$10)+('7.Config'!$D$12*'3.Parâmetros_Azul'!$E$24*'3.Parâmetros_Azul'!$I$24*'3.Parâmetros_Azul'!$G$24*'5.Mira'!$F$28*'6.Cibernético'!$E$25*'9.Simulação'!$E$10)+('7.Config'!$D$12*'3.Parâmetros_Azul'!$E$25*'3.Parâmetros_Azul'!$I$25*'3.Parâmetros_Azul'!$G$25*'5.Mira'!$G$28*'6.Cibernético'!$E$25*'9.Simulação'!$E$10)</f>
        <v>7.1858746953607638E-2</v>
      </c>
      <c r="G14" s="69">
        <f>('7.Config'!$D$10*'3.Parâmetros_Azul'!$E$21*'3.Parâmetros_Azul'!$I$21*'3.Parâmetros_Azul'!$G$21*'5.Mira'!$C$28*'6.Cibernético'!$E$25*'9.Simulação'!$E$11)+('7.Config'!$D$10*'3.Parâmetros_Azul'!$E$22*'3.Parâmetros_Azul'!$I$22*'3.Parâmetros_Azul'!$G$22*'5.Mira'!$D$28*'6.Cibernético'!$E$25*'9.Simulação'!$E$11)+('7.Config'!$D$12*'3.Parâmetros_Azul'!$E$23*'3.Parâmetros_Azul'!$I$23*'3.Parâmetros_Azul'!$G$23*'5.Mira'!$E$28*'6.Cibernético'!$E$25*'9.Simulação'!$E$11)+('7.Config'!$D$12*'3.Parâmetros_Azul'!$E$24*'3.Parâmetros_Azul'!$I$24*'3.Parâmetros_Azul'!$G$24*'5.Mira'!$F$28*'6.Cibernético'!$E$25*'9.Simulação'!$E$11)+('7.Config'!$D$12*'3.Parâmetros_Azul'!$E$25*'3.Parâmetros_Azul'!$I$25*'3.Parâmetros_Azul'!$G$25*'5.Mira'!$G$28*'6.Cibernético'!$E$25*'9.Simulação'!$E$11)</f>
        <v>7.1812709995449822E-2</v>
      </c>
      <c r="H14" s="69">
        <f>('7.Config'!$D$10*'3.Parâmetros_Azul'!$E$21*'3.Parâmetros_Azul'!$I$21*'3.Parâmetros_Azul'!$G$21*'5.Mira'!$C$28*'6.Cibernético'!$E$25*'9.Simulação'!$E$12)+('7.Config'!$D$10*'3.Parâmetros_Azul'!$E$22*'3.Parâmetros_Azul'!$I$22*'3.Parâmetros_Azul'!$G$22*'5.Mira'!$D$28*'6.Cibernético'!$E$25*'9.Simulação'!$E$12)+('7.Config'!$D$12*'3.Parâmetros_Azul'!$E$23*'3.Parâmetros_Azul'!$I$23*'3.Parâmetros_Azul'!$G$23*'5.Mira'!$E$28*'6.Cibernético'!$E$25*'9.Simulação'!$E$12)+('7.Config'!$D$12*'3.Parâmetros_Azul'!$E$24*'3.Parâmetros_Azul'!$I$24*'3.Parâmetros_Azul'!$G$24*'5.Mira'!$F$28*'6.Cibernético'!$E$25*'9.Simulação'!$E$12)+('7.Config'!$D$12*'3.Parâmetros_Azul'!$E$25*'3.Parâmetros_Azul'!$I$25*'3.Parâmetros_Azul'!$G$25*'5.Mira'!$G$28*'6.Cibernético'!$E$25*'9.Simulação'!$E$12)</f>
        <v>7.1767203549833222E-2</v>
      </c>
      <c r="I14" s="69">
        <f>('7.Config'!$D$10*'3.Parâmetros_Azul'!$E$21*'3.Parâmetros_Azul'!$I$21*'3.Parâmetros_Azul'!$G$21*'5.Mira'!$C$28*'6.Cibernético'!$E$25*'9.Simulação'!$E$13)+('7.Config'!$D$10*'3.Parâmetros_Azul'!$E$22*'3.Parâmetros_Azul'!$I$22*'3.Parâmetros_Azul'!$G$22*'5.Mira'!$D$28*'6.Cibernético'!$E$25*'9.Simulação'!$E$13)+('7.Config'!$D$12*'3.Parâmetros_Azul'!$E$23*'3.Parâmetros_Azul'!$I$23*'3.Parâmetros_Azul'!$G$23*'5.Mira'!$E$28*'6.Cibernético'!$E$25*'9.Simulação'!$E$13)+('7.Config'!$D$12*'3.Parâmetros_Azul'!$E$24*'3.Parâmetros_Azul'!$I$24*'3.Parâmetros_Azul'!$G$24*'5.Mira'!$F$28*'6.Cibernético'!$E$25*'9.Simulação'!$E$13)+('7.Config'!$D$12*'3.Parâmetros_Azul'!$E$25*'3.Parâmetros_Azul'!$I$25*'3.Parâmetros_Azul'!$G$25*'5.Mira'!$G$28*'6.Cibernético'!$E$25*'9.Simulação'!$E$13)</f>
        <v>7.172223177707536E-2</v>
      </c>
      <c r="J14" s="69">
        <f>('7.Config'!$D$10*'3.Parâmetros_Azul'!$E$21*'3.Parâmetros_Azul'!$I$21*'3.Parâmetros_Azul'!$G$21*'5.Mira'!$C$28*'6.Cibernético'!$E$25*'9.Simulação'!$E$14)+('7.Config'!$D$10*'3.Parâmetros_Azul'!$E$22*'3.Parâmetros_Azul'!$I$22*'3.Parâmetros_Azul'!$G$22*'5.Mira'!$D$28*'6.Cibernético'!$E$25*'9.Simulação'!$E$14)+('7.Config'!$D$12*'3.Parâmetros_Azul'!$E$23*'3.Parâmetros_Azul'!$I$23*'3.Parâmetros_Azul'!$G$23*'5.Mira'!$E$28*'6.Cibernético'!$E$25*'9.Simulação'!$E$14)+('7.Config'!$D$12*'3.Parâmetros_Azul'!$E$24*'3.Parâmetros_Azul'!$I$24*'3.Parâmetros_Azul'!$G$24*'5.Mira'!$F$28*'6.Cibernético'!$E$25*'9.Simulação'!$E$14)+('7.Config'!$D$12*'3.Parâmetros_Azul'!$E$25*'3.Parâmetros_Azul'!$I$25*'3.Parâmetros_Azul'!$G$25*'5.Mira'!$G$28*'6.Cibernético'!$E$25*'9.Simulação'!$E$14)</f>
        <v>7.1677798882509094E-2</v>
      </c>
      <c r="K14" s="69">
        <f>('7.Config'!$D$10*'3.Parâmetros_Azul'!$E$21*'3.Parâmetros_Azul'!$I$21*'3.Parâmetros_Azul'!$G$21*'5.Mira'!$C$28*'6.Cibernético'!$E$25*'9.Simulação'!$E$15)+('7.Config'!$D$10*'3.Parâmetros_Azul'!$E$22*'3.Parâmetros_Azul'!$I$22*'3.Parâmetros_Azul'!$G$22*'5.Mira'!$D$28*'6.Cibernético'!$E$25*'9.Simulação'!$E$15)+('7.Config'!$D$12*'3.Parâmetros_Azul'!$E$23*'3.Parâmetros_Azul'!$I$23*'3.Parâmetros_Azul'!$G$23*'5.Mira'!$E$28*'6.Cibernético'!$E$25*'9.Simulação'!$E$15)+('7.Config'!$D$12*'3.Parâmetros_Azul'!$E$24*'3.Parâmetros_Azul'!$I$24*'3.Parâmetros_Azul'!$G$24*'5.Mira'!$F$28*'6.Cibernético'!$E$25*'9.Simulação'!$E$15)+('7.Config'!$D$12*'3.Parâmetros_Azul'!$E$25*'3.Parâmetros_Azul'!$I$25*'3.Parâmetros_Azul'!$G$25*'5.Mira'!$G$28*'6.Cibernético'!$E$25*'9.Simulação'!$E$15)</f>
        <v>7.1633909117083894E-2</v>
      </c>
      <c r="L14" s="69">
        <f>('7.Config'!$D$10*'3.Parâmetros_Azul'!$E$21*'3.Parâmetros_Azul'!$I$21*'3.Parâmetros_Azul'!$G$21*'5.Mira'!$C$28*'6.Cibernético'!$E$25*'9.Simulação'!$E$16)+('7.Config'!$D$10*'3.Parâmetros_Azul'!$E$22*'3.Parâmetros_Azul'!$I$22*'3.Parâmetros_Azul'!$G$22*'5.Mira'!$D$28*'6.Cibernético'!$E$25*'9.Simulação'!$E$16)+('7.Config'!$D$12*'3.Parâmetros_Azul'!$E$23*'3.Parâmetros_Azul'!$I$23*'3.Parâmetros_Azul'!$G$23*'5.Mira'!$E$28*'6.Cibernético'!$E$25*'9.Simulação'!$E$16)+('7.Config'!$D$12*'3.Parâmetros_Azul'!$E$24*'3.Parâmetros_Azul'!$I$24*'3.Parâmetros_Azul'!$G$24*'5.Mira'!$F$28*'6.Cibernético'!$E$25*'9.Simulação'!$E$16)+('7.Config'!$D$12*'3.Parâmetros_Azul'!$E$25*'3.Parâmetros_Azul'!$I$25*'3.Parâmetros_Azul'!$G$25*'5.Mira'!$G$28*'6.Cibernético'!$E$25*'9.Simulação'!$E$16)</f>
        <v>7.1590566777975886E-2</v>
      </c>
    </row>
    <row r="15" spans="1:12" x14ac:dyDescent="0.2">
      <c r="A15" s="68" t="s">
        <v>205</v>
      </c>
      <c r="B15" s="40" t="s">
        <v>88</v>
      </c>
      <c r="C15" s="69">
        <f>('7.Config'!$E$10*'3.Parâmetros_Azul'!$E$28*'3.Parâmetros_Azul'!$I$28*'3.Parâmetros_Azul'!$G$28*'5.Mira'!$C$29*'6.Cibernético'!$E$23*'9.Simulação'!$F$7)+('7.Config'!$E$10*'3.Parâmetros_Azul'!$E$29*'3.Parâmetros_Azul'!$I$29*'3.Parâmetros_Azul'!$G$29*'5.Mira'!$D$29*'6.Cibernético'!$E$23*'9.Simulação'!$F$7)+('7.Config'!$E$12*'3.Parâmetros_Azul'!$E$30*'3.Parâmetros_Azul'!$I$30*'3.Parâmetros_Azul'!$G$30*'5.Mira'!$E$29*'6.Cibernético'!$E$23*'9.Simulação'!$F$7)+('7.Config'!$E$12*'3.Parâmetros_Azul'!$E$31*'3.Parâmetros_Azul'!$I$31*'3.Parâmetros_Azul'!$G$31*'5.Mira'!$F$29*'6.Cibernético'!$E$23*'9.Simulação'!$F$7)+('7.Config'!$E$12*'3.Parâmetros_Azul'!$E$32*'3.Parâmetros_Azul'!$I$32*'3.Parâmetros_Azul'!$G$32*'5.Mira'!$G$29*'6.Cibernético'!$E$23*'9.Simulação'!$F$7)</f>
        <v>0.99273889796524573</v>
      </c>
      <c r="D15" s="69">
        <f>('7.Config'!$E$10*'3.Parâmetros_Azul'!$E$28*'3.Parâmetros_Azul'!$I$28*'3.Parâmetros_Azul'!$G$28*'5.Mira'!$C$29*'6.Cibernético'!$E$23*'9.Simulação'!$F$8)+('7.Config'!$E$10*'3.Parâmetros_Azul'!$E$29*'3.Parâmetros_Azul'!$I$29*'3.Parâmetros_Azul'!$G$29*'5.Mira'!$D$29*'6.Cibernético'!$E$23*'9.Simulação'!$F$8)+('7.Config'!$E$12*'3.Parâmetros_Azul'!$E$30*'3.Parâmetros_Azul'!$I$30*'3.Parâmetros_Azul'!$G$30*'5.Mira'!$E$29*'6.Cibernético'!$E$23*'9.Simulação'!$F$8)+('7.Config'!$E$12*'3.Parâmetros_Azul'!$E$31*'3.Parâmetros_Azul'!$I$31*'3.Parâmetros_Azul'!$G$31*'5.Mira'!$F$29*'6.Cibernético'!$E$23*'9.Simulação'!$F$8)+('7.Config'!$E$12*'3.Parâmetros_Azul'!$E$32*'3.Parâmetros_Azul'!$I$32*'3.Parâmetros_Azul'!$G$32*'5.Mira'!$G$29*'6.Cibernético'!$E$23*'9.Simulação'!$F$8)</f>
        <v>0.99273889796524573</v>
      </c>
      <c r="E15" s="69">
        <f>('7.Config'!$E$10*'3.Parâmetros_Azul'!$E$28*'3.Parâmetros_Azul'!$I$28*'3.Parâmetros_Azul'!$G$28*'5.Mira'!$C$29*'6.Cibernético'!$E$23*'9.Simulação'!$F$9)+('7.Config'!$E$10*'3.Parâmetros_Azul'!$E$29*'3.Parâmetros_Azul'!$I$29*'3.Parâmetros_Azul'!$G$29*'5.Mira'!$D$29*'6.Cibernético'!$E$23*'9.Simulação'!$F$9)+('7.Config'!$E$12*'3.Parâmetros_Azul'!$E$30*'3.Parâmetros_Azul'!$I$30*'3.Parâmetros_Azul'!$G$30*'5.Mira'!$E$29*'6.Cibernético'!$E$23*'9.Simulação'!$F$9)+('7.Config'!$E$12*'3.Parâmetros_Azul'!$E$31*'3.Parâmetros_Azul'!$I$31*'3.Parâmetros_Azul'!$G$31*'5.Mira'!$F$29*'6.Cibernético'!$E$23*'9.Simulação'!$F$9)+('7.Config'!$E$12*'3.Parâmetros_Azul'!$E$32*'3.Parâmetros_Azul'!$I$32*'3.Parâmetros_Azul'!$G$32*'5.Mira'!$G$29*'6.Cibernético'!$E$23*'9.Simulação'!$F$9)</f>
        <v>0.99273889796524573</v>
      </c>
      <c r="F15" s="69">
        <f>('7.Config'!$E$10*'3.Parâmetros_Azul'!$E$28*'3.Parâmetros_Azul'!$I$28*'3.Parâmetros_Azul'!$G$28*'5.Mira'!$C$29*'6.Cibernético'!$E$23*'9.Simulação'!$F$10)+('7.Config'!$E$10*'3.Parâmetros_Azul'!$E$29*'3.Parâmetros_Azul'!$I$29*'3.Parâmetros_Azul'!$G$29*'5.Mira'!$D$29*'6.Cibernético'!$E$23*'9.Simulação'!$F$10)+('7.Config'!$E$12*'3.Parâmetros_Azul'!$E$30*'3.Parâmetros_Azul'!$I$30*'3.Parâmetros_Azul'!$G$30*'5.Mira'!$E$29*'6.Cibernético'!$E$23*'9.Simulação'!$F$10)+('7.Config'!$E$12*'3.Parâmetros_Azul'!$E$31*'3.Parâmetros_Azul'!$I$31*'3.Parâmetros_Azul'!$G$31*'5.Mira'!$F$29*'6.Cibernético'!$E$23*'9.Simulação'!$F$10)+('7.Config'!$E$12*'3.Parâmetros_Azul'!$E$32*'3.Parâmetros_Azul'!$I$32*'3.Parâmetros_Azul'!$G$32*'5.Mira'!$G$29*'6.Cibernético'!$E$23*'9.Simulação'!$F$10)</f>
        <v>0.99273889796524573</v>
      </c>
      <c r="G15" s="69">
        <f>('7.Config'!$E$10*'3.Parâmetros_Azul'!$E$28*'3.Parâmetros_Azul'!$I$28*'3.Parâmetros_Azul'!$G$28*'5.Mira'!$C$29*'6.Cibernético'!$E$23*'9.Simulação'!$F$11)+('7.Config'!$E$10*'3.Parâmetros_Azul'!$E$29*'3.Parâmetros_Azul'!$I$29*'3.Parâmetros_Azul'!$G$29*'5.Mira'!$D$29*'6.Cibernético'!$E$23*'9.Simulação'!$F$11)+('7.Config'!$E$12*'3.Parâmetros_Azul'!$E$30*'3.Parâmetros_Azul'!$I$30*'3.Parâmetros_Azul'!$G$30*'5.Mira'!$E$29*'6.Cibernético'!$E$23*'9.Simulação'!$F$11)+('7.Config'!$E$12*'3.Parâmetros_Azul'!$E$31*'3.Parâmetros_Azul'!$I$31*'3.Parâmetros_Azul'!$G$31*'5.Mira'!$F$29*'6.Cibernético'!$E$23*'9.Simulação'!$F$11)+('7.Config'!$E$12*'3.Parâmetros_Azul'!$E$32*'3.Parâmetros_Azul'!$I$32*'3.Parâmetros_Azul'!$G$32*'5.Mira'!$G$29*'6.Cibernético'!$E$23*'9.Simulação'!$F$11)</f>
        <v>0.99273889796524573</v>
      </c>
      <c r="H15" s="69">
        <f>('7.Config'!$E$10*'3.Parâmetros_Azul'!$E$28*'3.Parâmetros_Azul'!$I$28*'3.Parâmetros_Azul'!$G$28*'5.Mira'!$C$29*'6.Cibernético'!$E$23*'9.Simulação'!$F$12)+('7.Config'!$E$10*'3.Parâmetros_Azul'!$E$29*'3.Parâmetros_Azul'!$I$29*'3.Parâmetros_Azul'!$G$29*'5.Mira'!$D$29*'6.Cibernético'!$E$23*'9.Simulação'!$F$12)+('7.Config'!$E$12*'3.Parâmetros_Azul'!$E$30*'3.Parâmetros_Azul'!$I$30*'3.Parâmetros_Azul'!$G$30*'5.Mira'!$E$29*'6.Cibernético'!$E$23*'9.Simulação'!$F$12)+('7.Config'!$E$12*'3.Parâmetros_Azul'!$E$31*'3.Parâmetros_Azul'!$I$31*'3.Parâmetros_Azul'!$G$31*'5.Mira'!$F$29*'6.Cibernético'!$E$23*'9.Simulação'!$F$12)+('7.Config'!$E$12*'3.Parâmetros_Azul'!$E$32*'3.Parâmetros_Azul'!$I$32*'3.Parâmetros_Azul'!$G$32*'5.Mira'!$G$29*'6.Cibernético'!$E$23*'9.Simulação'!$F$12)</f>
        <v>0.99273889796524573</v>
      </c>
      <c r="I15" s="69">
        <f>('7.Config'!$E$10*'3.Parâmetros_Azul'!$E$28*'3.Parâmetros_Azul'!$I$28*'3.Parâmetros_Azul'!$G$28*'5.Mira'!$C$29*'6.Cibernético'!$E$23*'9.Simulação'!$F$13)+('7.Config'!$E$10*'3.Parâmetros_Azul'!$E$29*'3.Parâmetros_Azul'!$I$29*'3.Parâmetros_Azul'!$G$29*'5.Mira'!$D$29*'6.Cibernético'!$E$23*'9.Simulação'!$F$13)+('7.Config'!$E$12*'3.Parâmetros_Azul'!$E$30*'3.Parâmetros_Azul'!$I$30*'3.Parâmetros_Azul'!$G$30*'5.Mira'!$E$29*'6.Cibernético'!$E$23*'9.Simulação'!$F$13)+('7.Config'!$E$12*'3.Parâmetros_Azul'!$E$31*'3.Parâmetros_Azul'!$I$31*'3.Parâmetros_Azul'!$G$31*'5.Mira'!$F$29*'6.Cibernético'!$E$23*'9.Simulação'!$F$13)+('7.Config'!$E$12*'3.Parâmetros_Azul'!$E$32*'3.Parâmetros_Azul'!$I$32*'3.Parâmetros_Azul'!$G$32*'5.Mira'!$G$29*'6.Cibernético'!$E$23*'9.Simulação'!$F$13)</f>
        <v>0.99273889796524573</v>
      </c>
      <c r="J15" s="69">
        <f>('7.Config'!$E$10*'3.Parâmetros_Azul'!$E$28*'3.Parâmetros_Azul'!$I$28*'3.Parâmetros_Azul'!$G$28*'5.Mira'!$C$29*'6.Cibernético'!$E$23*'9.Simulação'!$F$14)+('7.Config'!$E$10*'3.Parâmetros_Azul'!$E$29*'3.Parâmetros_Azul'!$I$29*'3.Parâmetros_Azul'!$G$29*'5.Mira'!$D$29*'6.Cibernético'!$E$23*'9.Simulação'!$F$14)+('7.Config'!$E$12*'3.Parâmetros_Azul'!$E$30*'3.Parâmetros_Azul'!$I$30*'3.Parâmetros_Azul'!$G$30*'5.Mira'!$E$29*'6.Cibernético'!$E$23*'9.Simulação'!$F$14)+('7.Config'!$E$12*'3.Parâmetros_Azul'!$E$31*'3.Parâmetros_Azul'!$I$31*'3.Parâmetros_Azul'!$G$31*'5.Mira'!$F$29*'6.Cibernético'!$E$23*'9.Simulação'!$F$14)+('7.Config'!$E$12*'3.Parâmetros_Azul'!$E$32*'3.Parâmetros_Azul'!$I$32*'3.Parâmetros_Azul'!$G$32*'5.Mira'!$G$29*'6.Cibernético'!$E$23*'9.Simulação'!$F$14)</f>
        <v>0.99273889796524573</v>
      </c>
      <c r="K15" s="69">
        <f>('7.Config'!$E$10*'3.Parâmetros_Azul'!$E$28*'3.Parâmetros_Azul'!$I$28*'3.Parâmetros_Azul'!$G$28*'5.Mira'!$C$29*'6.Cibernético'!$E$23*'9.Simulação'!$F$15)+('7.Config'!$E$10*'3.Parâmetros_Azul'!$E$29*'3.Parâmetros_Azul'!$I$29*'3.Parâmetros_Azul'!$G$29*'5.Mira'!$D$29*'6.Cibernético'!$E$23*'9.Simulação'!$F$15)+('7.Config'!$E$12*'3.Parâmetros_Azul'!$E$30*'3.Parâmetros_Azul'!$I$30*'3.Parâmetros_Azul'!$G$30*'5.Mira'!$E$29*'6.Cibernético'!$E$23*'9.Simulação'!$F$15)+('7.Config'!$E$12*'3.Parâmetros_Azul'!$E$31*'3.Parâmetros_Azul'!$I$31*'3.Parâmetros_Azul'!$G$31*'5.Mira'!$F$29*'6.Cibernético'!$E$23*'9.Simulação'!$F$15)+('7.Config'!$E$12*'3.Parâmetros_Azul'!$E$32*'3.Parâmetros_Azul'!$I$32*'3.Parâmetros_Azul'!$G$32*'5.Mira'!$G$29*'6.Cibernético'!$E$23*'9.Simulação'!$F$15)</f>
        <v>0.99273889796524573</v>
      </c>
      <c r="L15" s="69">
        <f>('7.Config'!$E$10*'3.Parâmetros_Azul'!$E$28*'3.Parâmetros_Azul'!$I$28*'3.Parâmetros_Azul'!$G$28*'5.Mira'!$C$29*'6.Cibernético'!$E$23*'9.Simulação'!$F$16)+('7.Config'!$E$10*'3.Parâmetros_Azul'!$E$29*'3.Parâmetros_Azul'!$I$29*'3.Parâmetros_Azul'!$G$29*'5.Mira'!$D$29*'6.Cibernético'!$E$23*'9.Simulação'!$F$16)+('7.Config'!$E$12*'3.Parâmetros_Azul'!$E$30*'3.Parâmetros_Azul'!$I$30*'3.Parâmetros_Azul'!$G$30*'5.Mira'!$E$29*'6.Cibernético'!$E$23*'9.Simulação'!$F$16)+('7.Config'!$E$12*'3.Parâmetros_Azul'!$E$31*'3.Parâmetros_Azul'!$I$31*'3.Parâmetros_Azul'!$G$31*'5.Mira'!$F$29*'6.Cibernético'!$E$23*'9.Simulação'!$F$16)+('7.Config'!$E$12*'3.Parâmetros_Azul'!$E$32*'3.Parâmetros_Azul'!$I$32*'3.Parâmetros_Azul'!$G$32*'5.Mira'!$G$29*'6.Cibernético'!$E$23*'9.Simulação'!$F$16)</f>
        <v>0.99273889796524573</v>
      </c>
    </row>
    <row r="16" spans="1:12" x14ac:dyDescent="0.2">
      <c r="A16" s="68" t="s">
        <v>205</v>
      </c>
      <c r="B16" s="40" t="s">
        <v>90</v>
      </c>
      <c r="C16" s="69">
        <f>('7.Config'!$E$10*'3.Parâmetros_Azul'!$E$35*'3.Parâmetros_Azul'!$I$35*'3.Parâmetros_Azul'!$G$35*'5.Mira'!$C$30*'6.Cibernético'!$E$23*'9.Simulação'!$G$7)+('7.Config'!$E$10*'3.Parâmetros_Azul'!$E$36*'3.Parâmetros_Azul'!$I$36*'3.Parâmetros_Azul'!$G$36*'5.Mira'!$D$30*'6.Cibernético'!$E$23*'9.Simulação'!$G$7)+('7.Config'!$E$12*'3.Parâmetros_Azul'!$E$37*'3.Parâmetros_Azul'!$I$37*'3.Parâmetros_Azul'!$G$37*'5.Mira'!$E$30*'6.Cibernético'!$E$23*'9.Simulação'!$G$7)+('7.Config'!$E$12*'3.Parâmetros_Azul'!$E$38*'3.Parâmetros_Azul'!$I$38*'3.Parâmetros_Azul'!$G$38*'5.Mira'!$F$30*'6.Cibernético'!$E$23*'9.Simulação'!$G$7)+('7.Config'!$E$12*'3.Parâmetros_Azul'!$E$39*'3.Parâmetros_Azul'!$I$39*'3.Parâmetros_Azul'!$G$39*'5.Mira'!$G$30*'6.Cibernético'!$E$23*'9.Simulação'!$G$7)</f>
        <v>0.66182593197683048</v>
      </c>
      <c r="D16" s="69">
        <f>('7.Config'!$E$10*'3.Parâmetros_Azul'!$E$35*'3.Parâmetros_Azul'!$I$35*'3.Parâmetros_Azul'!$G$35*'5.Mira'!$C$30*'6.Cibernético'!$E$23*'9.Simulação'!$G$8)+('7.Config'!$E$10*'3.Parâmetros_Azul'!$E$36*'3.Parâmetros_Azul'!$I$36*'3.Parâmetros_Azul'!$G$36*'5.Mira'!$D$30*'6.Cibernético'!$E$23*'9.Simulação'!$G$8)+('7.Config'!$E$12*'3.Parâmetros_Azul'!$E$37*'3.Parâmetros_Azul'!$I$37*'3.Parâmetros_Azul'!$G$37*'5.Mira'!$E$30*'6.Cibernético'!$E$23*'9.Simulação'!$G$8)+('7.Config'!$E$12*'3.Parâmetros_Azul'!$E$38*'3.Parâmetros_Azul'!$I$38*'3.Parâmetros_Azul'!$G$38*'5.Mira'!$F$30*'6.Cibernético'!$E$23*'9.Simulação'!$G$8)+('7.Config'!$E$12*'3.Parâmetros_Azul'!$E$39*'3.Parâmetros_Azul'!$I$39*'3.Parâmetros_Azul'!$G$39*'5.Mira'!$G$30*'6.Cibernético'!$E$23*'9.Simulação'!$G$8)</f>
        <v>0.66182593197683048</v>
      </c>
      <c r="E16" s="69">
        <f>('7.Config'!$E$10*'3.Parâmetros_Azul'!$E$35*'3.Parâmetros_Azul'!$I$35*'3.Parâmetros_Azul'!$G$35*'5.Mira'!$C$30*'6.Cibernético'!$E$23*'9.Simulação'!$G$9)+('7.Config'!$E$10*'3.Parâmetros_Azul'!$E$36*'3.Parâmetros_Azul'!$I$36*'3.Parâmetros_Azul'!$G$36*'5.Mira'!$D$30*'6.Cibernético'!$E$23*'9.Simulação'!$G$9)+('7.Config'!$E$12*'3.Parâmetros_Azul'!$E$37*'3.Parâmetros_Azul'!$I$37*'3.Parâmetros_Azul'!$G$37*'5.Mira'!$E$30*'6.Cibernético'!$E$23*'9.Simulação'!$G$9)+('7.Config'!$E$12*'3.Parâmetros_Azul'!$E$38*'3.Parâmetros_Azul'!$I$38*'3.Parâmetros_Azul'!$G$38*'5.Mira'!$F$30*'6.Cibernético'!$E$23*'9.Simulação'!$G$9)+('7.Config'!$E$12*'3.Parâmetros_Azul'!$E$39*'3.Parâmetros_Azul'!$I$39*'3.Parâmetros_Azul'!$G$39*'5.Mira'!$G$30*'6.Cibernético'!$E$23*'9.Simulação'!$G$9)</f>
        <v>0.66182593197683048</v>
      </c>
      <c r="F16" s="69">
        <f>('7.Config'!$E$10*'3.Parâmetros_Azul'!$E$35*'3.Parâmetros_Azul'!$I$35*'3.Parâmetros_Azul'!$G$35*'5.Mira'!$C$30*'6.Cibernético'!$E$23*'9.Simulação'!$G$10)+('7.Config'!$E$10*'3.Parâmetros_Azul'!$E$36*'3.Parâmetros_Azul'!$I$36*'3.Parâmetros_Azul'!$G$36*'5.Mira'!$D$30*'6.Cibernético'!$E$23*'9.Simulação'!$G$10)+('7.Config'!$E$12*'3.Parâmetros_Azul'!$E$37*'3.Parâmetros_Azul'!$I$37*'3.Parâmetros_Azul'!$G$37*'5.Mira'!$E$30*'6.Cibernético'!$E$23*'9.Simulação'!$G$10)+('7.Config'!$E$12*'3.Parâmetros_Azul'!$E$38*'3.Parâmetros_Azul'!$I$38*'3.Parâmetros_Azul'!$G$38*'5.Mira'!$F$30*'6.Cibernético'!$E$23*'9.Simulação'!$G$10)+('7.Config'!$E$12*'3.Parâmetros_Azul'!$E$39*'3.Parâmetros_Azul'!$I$39*'3.Parâmetros_Azul'!$G$39*'5.Mira'!$G$30*'6.Cibernético'!$E$23*'9.Simulação'!$G$10)</f>
        <v>0.66182593197683048</v>
      </c>
      <c r="G16" s="69">
        <f>('7.Config'!$E$10*'3.Parâmetros_Azul'!$E$35*'3.Parâmetros_Azul'!$I$35*'3.Parâmetros_Azul'!$G$35*'5.Mira'!$C$30*'6.Cibernético'!$E$23*'9.Simulação'!$G$11)+('7.Config'!$E$10*'3.Parâmetros_Azul'!$E$36*'3.Parâmetros_Azul'!$I$36*'3.Parâmetros_Azul'!$G$36*'5.Mira'!$D$30*'6.Cibernético'!$E$23*'9.Simulação'!$G$11)+('7.Config'!$E$12*'3.Parâmetros_Azul'!$E$37*'3.Parâmetros_Azul'!$I$37*'3.Parâmetros_Azul'!$G$37*'5.Mira'!$E$30*'6.Cibernético'!$E$23*'9.Simulação'!$G$11)+('7.Config'!$E$12*'3.Parâmetros_Azul'!$E$38*'3.Parâmetros_Azul'!$I$38*'3.Parâmetros_Azul'!$G$38*'5.Mira'!$F$30*'6.Cibernético'!$E$23*'9.Simulação'!$G$11)+('7.Config'!$E$12*'3.Parâmetros_Azul'!$E$39*'3.Parâmetros_Azul'!$I$39*'3.Parâmetros_Azul'!$G$39*'5.Mira'!$G$30*'6.Cibernético'!$E$23*'9.Simulação'!$G$11)</f>
        <v>0.66182593197683048</v>
      </c>
      <c r="H16" s="69">
        <f>('7.Config'!$E$10*'3.Parâmetros_Azul'!$E$35*'3.Parâmetros_Azul'!$I$35*'3.Parâmetros_Azul'!$G$35*'5.Mira'!$C$30*'6.Cibernético'!$E$23*'9.Simulação'!$G$12)+('7.Config'!$E$10*'3.Parâmetros_Azul'!$E$36*'3.Parâmetros_Azul'!$I$36*'3.Parâmetros_Azul'!$G$36*'5.Mira'!$D$30*'6.Cibernético'!$E$23*'9.Simulação'!$G$12)+('7.Config'!$E$12*'3.Parâmetros_Azul'!$E$37*'3.Parâmetros_Azul'!$I$37*'3.Parâmetros_Azul'!$G$37*'5.Mira'!$E$30*'6.Cibernético'!$E$23*'9.Simulação'!$G$12)+('7.Config'!$E$12*'3.Parâmetros_Azul'!$E$38*'3.Parâmetros_Azul'!$I$38*'3.Parâmetros_Azul'!$G$38*'5.Mira'!$F$30*'6.Cibernético'!$E$23*'9.Simulação'!$G$12)+('7.Config'!$E$12*'3.Parâmetros_Azul'!$E$39*'3.Parâmetros_Azul'!$I$39*'3.Parâmetros_Azul'!$G$39*'5.Mira'!$G$30*'6.Cibernético'!$E$23*'9.Simulação'!$G$12)</f>
        <v>0.66182593197683048</v>
      </c>
      <c r="I16" s="69">
        <f>('7.Config'!$E$10*'3.Parâmetros_Azul'!$E$35*'3.Parâmetros_Azul'!$I$35*'3.Parâmetros_Azul'!$G$35*'5.Mira'!$C$30*'6.Cibernético'!$E$23*'9.Simulação'!$G$13)+('7.Config'!$E$10*'3.Parâmetros_Azul'!$E$36*'3.Parâmetros_Azul'!$I$36*'3.Parâmetros_Azul'!$G$36*'5.Mira'!$D$30*'6.Cibernético'!$E$23*'9.Simulação'!$G$13)+('7.Config'!$E$12*'3.Parâmetros_Azul'!$E$37*'3.Parâmetros_Azul'!$I$37*'3.Parâmetros_Azul'!$G$37*'5.Mira'!$E$30*'6.Cibernético'!$E$23*'9.Simulação'!$G$13)+('7.Config'!$E$12*'3.Parâmetros_Azul'!$E$38*'3.Parâmetros_Azul'!$I$38*'3.Parâmetros_Azul'!$G$38*'5.Mira'!$F$30*'6.Cibernético'!$E$23*'9.Simulação'!$G$13)+('7.Config'!$E$12*'3.Parâmetros_Azul'!$E$39*'3.Parâmetros_Azul'!$I$39*'3.Parâmetros_Azul'!$G$39*'5.Mira'!$G$30*'6.Cibernético'!$E$23*'9.Simulação'!$G$13)</f>
        <v>0.66182593197683048</v>
      </c>
      <c r="J16" s="69">
        <f>('7.Config'!$E$10*'3.Parâmetros_Azul'!$E$35*'3.Parâmetros_Azul'!$I$35*'3.Parâmetros_Azul'!$G$35*'5.Mira'!$C$30*'6.Cibernético'!$E$23*'9.Simulação'!$G$14)+('7.Config'!$E$10*'3.Parâmetros_Azul'!$E$36*'3.Parâmetros_Azul'!$I$36*'3.Parâmetros_Azul'!$G$36*'5.Mira'!$D$30*'6.Cibernético'!$E$23*'9.Simulação'!$G$14)+('7.Config'!$E$12*'3.Parâmetros_Azul'!$E$37*'3.Parâmetros_Azul'!$I$37*'3.Parâmetros_Azul'!$G$37*'5.Mira'!$E$30*'6.Cibernético'!$E$23*'9.Simulação'!$G$14)+('7.Config'!$E$12*'3.Parâmetros_Azul'!$E$38*'3.Parâmetros_Azul'!$I$38*'3.Parâmetros_Azul'!$G$38*'5.Mira'!$F$30*'6.Cibernético'!$E$23*'9.Simulação'!$G$14)+('7.Config'!$E$12*'3.Parâmetros_Azul'!$E$39*'3.Parâmetros_Azul'!$I$39*'3.Parâmetros_Azul'!$G$39*'5.Mira'!$G$30*'6.Cibernético'!$E$23*'9.Simulação'!$G$14)</f>
        <v>0.66182593197683048</v>
      </c>
      <c r="K16" s="69">
        <f>('7.Config'!$E$10*'3.Parâmetros_Azul'!$E$35*'3.Parâmetros_Azul'!$I$35*'3.Parâmetros_Azul'!$G$35*'5.Mira'!$C$30*'6.Cibernético'!$E$23*'9.Simulação'!$G$15)+('7.Config'!$E$10*'3.Parâmetros_Azul'!$E$36*'3.Parâmetros_Azul'!$I$36*'3.Parâmetros_Azul'!$G$36*'5.Mira'!$D$30*'6.Cibernético'!$E$23*'9.Simulação'!$G$15)+('7.Config'!$E$12*'3.Parâmetros_Azul'!$E$37*'3.Parâmetros_Azul'!$I$37*'3.Parâmetros_Azul'!$G$37*'5.Mira'!$E$30*'6.Cibernético'!$E$23*'9.Simulação'!$G$15)+('7.Config'!$E$12*'3.Parâmetros_Azul'!$E$38*'3.Parâmetros_Azul'!$I$38*'3.Parâmetros_Azul'!$G$38*'5.Mira'!$F$30*'6.Cibernético'!$E$23*'9.Simulação'!$G$15)+('7.Config'!$E$12*'3.Parâmetros_Azul'!$E$39*'3.Parâmetros_Azul'!$I$39*'3.Parâmetros_Azul'!$G$39*'5.Mira'!$G$30*'6.Cibernético'!$E$23*'9.Simulação'!$G$15)</f>
        <v>0.66182593197683048</v>
      </c>
      <c r="L16" s="69">
        <f>('7.Config'!$E$10*'3.Parâmetros_Azul'!$E$35*'3.Parâmetros_Azul'!$I$35*'3.Parâmetros_Azul'!$G$35*'5.Mira'!$C$30*'6.Cibernético'!$E$23*'9.Simulação'!$G$16)+('7.Config'!$E$10*'3.Parâmetros_Azul'!$E$36*'3.Parâmetros_Azul'!$I$36*'3.Parâmetros_Azul'!$G$36*'5.Mira'!$D$30*'6.Cibernético'!$E$23*'9.Simulação'!$G$16)+('7.Config'!$E$12*'3.Parâmetros_Azul'!$E$37*'3.Parâmetros_Azul'!$I$37*'3.Parâmetros_Azul'!$G$37*'5.Mira'!$E$30*'6.Cibernético'!$E$23*'9.Simulação'!$G$16)+('7.Config'!$E$12*'3.Parâmetros_Azul'!$E$38*'3.Parâmetros_Azul'!$I$38*'3.Parâmetros_Azul'!$G$38*'5.Mira'!$F$30*'6.Cibernético'!$E$23*'9.Simulação'!$G$16)+('7.Config'!$E$12*'3.Parâmetros_Azul'!$E$39*'3.Parâmetros_Azul'!$I$39*'3.Parâmetros_Azul'!$G$39*'5.Mira'!$G$30*'6.Cibernético'!$E$23*'9.Simulação'!$G$16)</f>
        <v>0.66182593197683048</v>
      </c>
    </row>
    <row r="17" spans="1:12" x14ac:dyDescent="0.2">
      <c r="A17" s="68" t="s">
        <v>205</v>
      </c>
      <c r="B17" s="40" t="s">
        <v>92</v>
      </c>
      <c r="C17" s="69">
        <f>('7.Config'!$F$10*'3.Parâmetros_Azul'!$E$42*'3.Parâmetros_Azul'!$I$42*'3.Parâmetros_Azul'!$G$42*'5.Mira'!$C$31*'6.Cibernético'!$E$23*'9.Simulação'!$H$7)+('7.Config'!$F$10*'3.Parâmetros_Azul'!$E$43*'3.Parâmetros_Azul'!$I$43*'3.Parâmetros_Azul'!$G$43*'5.Mira'!$D$31*'6.Cibernético'!$E$23*'9.Simulação'!$H$7)+('7.Config'!$F$12*'3.Parâmetros_Azul'!$E$44*'3.Parâmetros_Azul'!$I$44*'3.Parâmetros_Azul'!$G$44*'5.Mira'!$E$31*'6.Cibernético'!$E$23*'9.Simulação'!$H$7)+('7.Config'!$F$12*'3.Parâmetros_Azul'!$E$45*'3.Parâmetros_Azul'!$I$45*'3.Parâmetros_Azul'!$G$45*'5.Mira'!$F$31*'6.Cibernético'!$E$23*'9.Simulação'!$H$7)+('7.Config'!$F$12*'3.Parâmetros_Azul'!$E$46*'3.Parâmetros_Azul'!$I$46*'3.Parâmetros_Azul'!$G$46*'5.Mira'!$G$31*'6.Cibernético'!$E$23*'9.Simulação'!$H$7)</f>
        <v>0.43102109015297796</v>
      </c>
      <c r="D17" s="69">
        <f>('7.Config'!$F$10*'3.Parâmetros_Azul'!$E$42*'3.Parâmetros_Azul'!$I$42*'3.Parâmetros_Azul'!$G$42*'5.Mira'!$C$31*'6.Cibernético'!$E$23*'9.Simulação'!$H$8)+('7.Config'!$F$10*'3.Parâmetros_Azul'!$E$43*'3.Parâmetros_Azul'!$I$43*'3.Parâmetros_Azul'!$G$43*'5.Mira'!$D$31*'6.Cibernético'!$E$23*'9.Simulação'!$H$8)+('7.Config'!$F$12*'3.Parâmetros_Azul'!$E$44*'3.Parâmetros_Azul'!$I$44*'3.Parâmetros_Azul'!$G$44*'5.Mira'!$E$31*'6.Cibernético'!$E$23*'9.Simulação'!$H$8)+('7.Config'!$F$12*'3.Parâmetros_Azul'!$E$45*'3.Parâmetros_Azul'!$I$45*'3.Parâmetros_Azul'!$G$45*'5.Mira'!$F$31*'6.Cibernético'!$E$23*'9.Simulação'!$H$8)+('7.Config'!$F$12*'3.Parâmetros_Azul'!$E$46*'3.Parâmetros_Azul'!$I$46*'3.Parâmetros_Azul'!$G$46*'5.Mira'!$G$31*'6.Cibernético'!$E$23*'9.Simulação'!$H$8)</f>
        <v>0.43100981138502198</v>
      </c>
      <c r="E17" s="69">
        <f>('7.Config'!$F$10*'3.Parâmetros_Azul'!$E$42*'3.Parâmetros_Azul'!$I$42*'3.Parâmetros_Azul'!$G$42*'5.Mira'!$C$31*'6.Cibernético'!$E$23*'9.Simulação'!$H$9)+('7.Config'!$F$10*'3.Parâmetros_Azul'!$E$43*'3.Parâmetros_Azul'!$I$43*'3.Parâmetros_Azul'!$G$43*'5.Mira'!$D$31*'6.Cibernético'!$E$23*'9.Simulação'!$H$9)+('7.Config'!$F$12*'3.Parâmetros_Azul'!$E$44*'3.Parâmetros_Azul'!$I$44*'3.Parâmetros_Azul'!$G$44*'5.Mira'!$E$31*'6.Cibernético'!$E$23*'9.Simulação'!$H$9)+('7.Config'!$F$12*'3.Parâmetros_Azul'!$E$45*'3.Parâmetros_Azul'!$I$45*'3.Parâmetros_Azul'!$G$45*'5.Mira'!$F$31*'6.Cibernético'!$E$23*'9.Simulação'!$H$9)+('7.Config'!$F$12*'3.Parâmetros_Azul'!$E$46*'3.Parâmetros_Azul'!$I$46*'3.Parâmetros_Azul'!$G$46*'5.Mira'!$G$31*'6.Cibernético'!$E$23*'9.Simulação'!$H$9)</f>
        <v>0.43100239875140328</v>
      </c>
      <c r="F17" s="69">
        <f>('7.Config'!$F$10*'3.Parâmetros_Azul'!$E$42*'3.Parâmetros_Azul'!$I$42*'3.Parâmetros_Azul'!$G$42*'5.Mira'!$C$31*'6.Cibernético'!$E$23*'9.Simulação'!$H$10)+('7.Config'!$F$10*'3.Parâmetros_Azul'!$E$43*'3.Parâmetros_Azul'!$I$43*'3.Parâmetros_Azul'!$G$43*'5.Mira'!$D$31*'6.Cibernético'!$E$23*'9.Simulação'!$H$10)+('7.Config'!$F$12*'3.Parâmetros_Azul'!$E$44*'3.Parâmetros_Azul'!$I$44*'3.Parâmetros_Azul'!$G$44*'5.Mira'!$E$31*'6.Cibernético'!$E$23*'9.Simulação'!$H$10)+('7.Config'!$F$12*'3.Parâmetros_Azul'!$E$45*'3.Parâmetros_Azul'!$I$45*'3.Parâmetros_Azul'!$G$45*'5.Mira'!$F$31*'6.Cibernético'!$E$23*'9.Simulação'!$H$10)+('7.Config'!$F$12*'3.Parâmetros_Azul'!$E$46*'3.Parâmetros_Azul'!$I$46*'3.Parâmetros_Azul'!$G$46*'5.Mira'!$G$31*'6.Cibernético'!$E$23*'9.Simulação'!$H$10)</f>
        <v>0.43099888674519099</v>
      </c>
      <c r="G17" s="69">
        <f>('7.Config'!$F$10*'3.Parâmetros_Azul'!$E$42*'3.Parâmetros_Azul'!$I$42*'3.Parâmetros_Azul'!$G$42*'5.Mira'!$C$31*'6.Cibernético'!$E$23*'9.Simulação'!$H$11)+('7.Config'!$F$10*'3.Parâmetros_Azul'!$E$43*'3.Parâmetros_Azul'!$I$43*'3.Parâmetros_Azul'!$G$43*'5.Mira'!$D$31*'6.Cibernético'!$E$23*'9.Simulação'!$H$11)+('7.Config'!$F$12*'3.Parâmetros_Azul'!$E$44*'3.Parâmetros_Azul'!$I$44*'3.Parâmetros_Azul'!$G$44*'5.Mira'!$E$31*'6.Cibernético'!$E$23*'9.Simulação'!$H$11)+('7.Config'!$F$12*'3.Parâmetros_Azul'!$E$45*'3.Parâmetros_Azul'!$I$45*'3.Parâmetros_Azul'!$G$45*'5.Mira'!$F$31*'6.Cibernético'!$E$23*'9.Simulação'!$H$11)+('7.Config'!$F$12*'3.Parâmetros_Azul'!$E$46*'3.Parâmetros_Azul'!$I$46*'3.Parâmetros_Azul'!$G$46*'5.Mira'!$G$31*'6.Cibernético'!$E$23*'9.Simulação'!$H$11)</f>
        <v>0.43099888674519099</v>
      </c>
      <c r="H17" s="69">
        <f>('7.Config'!$F$10*'3.Parâmetros_Azul'!$E$42*'3.Parâmetros_Azul'!$I$42*'3.Parâmetros_Azul'!$G$42*'5.Mira'!$C$31*'6.Cibernético'!$E$23*'9.Simulação'!$H$12)+('7.Config'!$F$10*'3.Parâmetros_Azul'!$E$43*'3.Parâmetros_Azul'!$I$43*'3.Parâmetros_Azul'!$G$43*'5.Mira'!$D$31*'6.Cibernético'!$E$23*'9.Simulação'!$H$12)+('7.Config'!$F$12*'3.Parâmetros_Azul'!$E$44*'3.Parâmetros_Azul'!$I$44*'3.Parâmetros_Azul'!$G$44*'5.Mira'!$E$31*'6.Cibernético'!$E$23*'9.Simulação'!$H$12)+('7.Config'!$F$12*'3.Parâmetros_Azul'!$E$45*'3.Parâmetros_Azul'!$I$45*'3.Parâmetros_Azul'!$G$45*'5.Mira'!$F$31*'6.Cibernético'!$E$23*'9.Simulação'!$H$12)+('7.Config'!$F$12*'3.Parâmetros_Azul'!$E$46*'3.Parâmetros_Azul'!$I$46*'3.Parâmetros_Azul'!$G$46*'5.Mira'!$G$31*'6.Cibernético'!$E$23*'9.Simulação'!$H$12)</f>
        <v>0.43099888674519099</v>
      </c>
      <c r="I17" s="69">
        <f>('7.Config'!$F$10*'3.Parâmetros_Azul'!$E$42*'3.Parâmetros_Azul'!$I$42*'3.Parâmetros_Azul'!$G$42*'5.Mira'!$C$31*'6.Cibernético'!$E$23*'9.Simulação'!$H$13)+('7.Config'!$F$10*'3.Parâmetros_Azul'!$E$43*'3.Parâmetros_Azul'!$I$43*'3.Parâmetros_Azul'!$G$43*'5.Mira'!$D$31*'6.Cibernético'!$E$23*'9.Simulação'!$H$13)+('7.Config'!$F$12*'3.Parâmetros_Azul'!$E$44*'3.Parâmetros_Azul'!$I$44*'3.Parâmetros_Azul'!$G$44*'5.Mira'!$E$31*'6.Cibernético'!$E$23*'9.Simulação'!$H$13)+('7.Config'!$F$12*'3.Parâmetros_Azul'!$E$45*'3.Parâmetros_Azul'!$I$45*'3.Parâmetros_Azul'!$G$45*'5.Mira'!$F$31*'6.Cibernético'!$E$23*'9.Simulação'!$H$13)+('7.Config'!$F$12*'3.Parâmetros_Azul'!$E$46*'3.Parâmetros_Azul'!$I$46*'3.Parâmetros_Azul'!$G$46*'5.Mira'!$G$31*'6.Cibernético'!$E$23*'9.Simulação'!$H$13)</f>
        <v>0.43099888674519099</v>
      </c>
      <c r="J17" s="69">
        <f>('7.Config'!$F$10*'3.Parâmetros_Azul'!$E$42*'3.Parâmetros_Azul'!$I$42*'3.Parâmetros_Azul'!$G$42*'5.Mira'!$C$31*'6.Cibernético'!$E$23*'9.Simulação'!$H$14)+('7.Config'!$F$10*'3.Parâmetros_Azul'!$E$43*'3.Parâmetros_Azul'!$I$43*'3.Parâmetros_Azul'!$G$43*'5.Mira'!$D$31*'6.Cibernético'!$E$23*'9.Simulação'!$H$14)+('7.Config'!$F$12*'3.Parâmetros_Azul'!$E$44*'3.Parâmetros_Azul'!$I$44*'3.Parâmetros_Azul'!$G$44*'5.Mira'!$E$31*'6.Cibernético'!$E$23*'9.Simulação'!$H$14)+('7.Config'!$F$12*'3.Parâmetros_Azul'!$E$45*'3.Parâmetros_Azul'!$I$45*'3.Parâmetros_Azul'!$G$45*'5.Mira'!$F$31*'6.Cibernético'!$E$23*'9.Simulação'!$H$14)+('7.Config'!$F$12*'3.Parâmetros_Azul'!$E$46*'3.Parâmetros_Azul'!$I$46*'3.Parâmetros_Azul'!$G$46*'5.Mira'!$G$31*'6.Cibernético'!$E$23*'9.Simulação'!$H$14)</f>
        <v>0.43099888674519099</v>
      </c>
      <c r="K17" s="69">
        <f>('7.Config'!$F$10*'3.Parâmetros_Azul'!$E$42*'3.Parâmetros_Azul'!$I$42*'3.Parâmetros_Azul'!$G$42*'5.Mira'!$C$31*'6.Cibernético'!$E$23*'9.Simulação'!$H$15)+('7.Config'!$F$10*'3.Parâmetros_Azul'!$E$43*'3.Parâmetros_Azul'!$I$43*'3.Parâmetros_Azul'!$G$43*'5.Mira'!$D$31*'6.Cibernético'!$E$23*'9.Simulação'!$H$15)+('7.Config'!$F$12*'3.Parâmetros_Azul'!$E$44*'3.Parâmetros_Azul'!$I$44*'3.Parâmetros_Azul'!$G$44*'5.Mira'!$E$31*'6.Cibernético'!$E$23*'9.Simulação'!$H$15)+('7.Config'!$F$12*'3.Parâmetros_Azul'!$E$45*'3.Parâmetros_Azul'!$I$45*'3.Parâmetros_Azul'!$G$45*'5.Mira'!$F$31*'6.Cibernético'!$E$23*'9.Simulação'!$H$15)+('7.Config'!$F$12*'3.Parâmetros_Azul'!$E$46*'3.Parâmetros_Azul'!$I$46*'3.Parâmetros_Azul'!$G$46*'5.Mira'!$G$31*'6.Cibernético'!$E$23*'9.Simulação'!$H$15)</f>
        <v>0.43099888674519099</v>
      </c>
      <c r="L17" s="69">
        <f>('7.Config'!$F$10*'3.Parâmetros_Azul'!$E$42*'3.Parâmetros_Azul'!$I$42*'3.Parâmetros_Azul'!$G$42*'5.Mira'!$C$31*'6.Cibernético'!$E$23*'9.Simulação'!$H$16)+('7.Config'!$F$10*'3.Parâmetros_Azul'!$E$43*'3.Parâmetros_Azul'!$I$43*'3.Parâmetros_Azul'!$G$43*'5.Mira'!$D$31*'6.Cibernético'!$E$23*'9.Simulação'!$H$16)+('7.Config'!$F$12*'3.Parâmetros_Azul'!$E$44*'3.Parâmetros_Azul'!$I$44*'3.Parâmetros_Azul'!$G$44*'5.Mira'!$E$31*'6.Cibernético'!$E$23*'9.Simulação'!$H$16)+('7.Config'!$F$12*'3.Parâmetros_Azul'!$E$45*'3.Parâmetros_Azul'!$I$45*'3.Parâmetros_Azul'!$G$45*'5.Mira'!$F$31*'6.Cibernético'!$E$23*'9.Simulação'!$H$16)+('7.Config'!$F$12*'3.Parâmetros_Azul'!$E$46*'3.Parâmetros_Azul'!$I$46*'3.Parâmetros_Azul'!$G$46*'5.Mira'!$G$31*'6.Cibernético'!$E$23*'9.Simulação'!$H$16)</f>
        <v>0.43099888674519099</v>
      </c>
    </row>
    <row r="18" spans="1:12" x14ac:dyDescent="0.2">
      <c r="A18" s="68" t="s">
        <v>205</v>
      </c>
      <c r="B18" s="40" t="s">
        <v>94</v>
      </c>
      <c r="C18" s="69">
        <f>('7.Config'!$F$10*'3.Parâmetros_Azul'!$E$49*'3.Parâmetros_Azul'!$I$49*'3.Parâmetros_Azul'!$G$49*'5.Mira'!$C$32*'6.Cibernético'!$E$23*'9.Simulação'!$I$7)+('7.Config'!$F$10*'3.Parâmetros_Azul'!$E$50*'3.Parâmetros_Azul'!$I$50*'3.Parâmetros_Azul'!$G$50*'5.Mira'!$D$32*'6.Cibernético'!$E$23*'9.Simulação'!$I$7)+('7.Config'!$F$12*'3.Parâmetros_Azul'!$E$51*'3.Parâmetros_Azul'!$I$51*'3.Parâmetros_Azul'!$G$51*'5.Mira'!$E$32*'6.Cibernético'!$E$23*'9.Simulação'!$I$7)+('7.Config'!$F$12*'3.Parâmetros_Azul'!$E$52*'3.Parâmetros_Azul'!$I$52*'3.Parâmetros_Azul'!$G$52*'5.Mira'!$F$32*'6.Cibernético'!$E$23*'9.Simulação'!$I$7)+('7.Config'!$F$12*'3.Parâmetros_Azul'!$E$53*'3.Parâmetros_Azul'!$I$53*'3.Parâmetros_Azul'!$G$53*'5.Mira'!$G$32*'6.Cibernético'!$E$23*'9.Simulação'!$I$7)</f>
        <v>0.14367369671765934</v>
      </c>
      <c r="D18" s="69">
        <f>('7.Config'!$F$10*'3.Parâmetros_Azul'!$E$49*'3.Parâmetros_Azul'!$I$49*'3.Parâmetros_Azul'!$G$49*'5.Mira'!$C$32*'6.Cibernético'!$E$23*'9.Simulação'!$I$8)+('7.Config'!$F$10*'3.Parâmetros_Azul'!$E$50*'3.Parâmetros_Azul'!$I$50*'3.Parâmetros_Azul'!$G$50*'5.Mira'!$D$32*'6.Cibernético'!$E$23*'9.Simulação'!$I$8)+('7.Config'!$F$12*'3.Parâmetros_Azul'!$E$51*'3.Parâmetros_Azul'!$I$51*'3.Parâmetros_Azul'!$G$51*'5.Mira'!$E$32*'6.Cibernético'!$E$23*'9.Simulação'!$I$8)+('7.Config'!$F$12*'3.Parâmetros_Azul'!$E$52*'3.Parâmetros_Azul'!$I$52*'3.Parâmetros_Azul'!$G$52*'5.Mira'!$F$32*'6.Cibernético'!$E$23*'9.Simulação'!$I$8)+('7.Config'!$F$12*'3.Parâmetros_Azul'!$E$53*'3.Parâmetros_Azul'!$I$53*'3.Parâmetros_Azul'!$G$53*'5.Mira'!$G$32*'6.Cibernético'!$E$23*'9.Simulação'!$I$8)</f>
        <v>0.14297434691208616</v>
      </c>
      <c r="E18" s="69">
        <f>('7.Config'!$F$10*'3.Parâmetros_Azul'!$E$49*'3.Parâmetros_Azul'!$I$49*'3.Parâmetros_Azul'!$G$49*'5.Mira'!$C$32*'6.Cibernético'!$E$23*'9.Simulação'!$I$9)+('7.Config'!$F$10*'3.Parâmetros_Azul'!$E$50*'3.Parâmetros_Azul'!$I$50*'3.Parâmetros_Azul'!$G$50*'5.Mira'!$D$32*'6.Cibernético'!$E$23*'9.Simulação'!$I$9)+('7.Config'!$F$12*'3.Parâmetros_Azul'!$E$51*'3.Parâmetros_Azul'!$I$51*'3.Parâmetros_Azul'!$G$51*'5.Mira'!$E$32*'6.Cibernético'!$E$23*'9.Simulação'!$I$9)+('7.Config'!$F$12*'3.Parâmetros_Azul'!$E$52*'3.Parâmetros_Azul'!$I$52*'3.Parâmetros_Azul'!$G$52*'5.Mira'!$F$32*'6.Cibernético'!$E$23*'9.Simulação'!$I$9)+('7.Config'!$F$12*'3.Parâmetros_Azul'!$E$53*'3.Parâmetros_Azul'!$I$53*'3.Parâmetros_Azul'!$G$53*'5.Mira'!$G$32*'6.Cibernético'!$E$23*'9.Simulação'!$I$9)</f>
        <v>0.14227721561235718</v>
      </c>
      <c r="F18" s="69">
        <f>('7.Config'!$F$10*'3.Parâmetros_Azul'!$E$49*'3.Parâmetros_Azul'!$I$49*'3.Parâmetros_Azul'!$G$49*'5.Mira'!$C$32*'6.Cibernético'!$E$23*'9.Simulação'!$I$10)+('7.Config'!$F$10*'3.Parâmetros_Azul'!$E$50*'3.Parâmetros_Azul'!$I$50*'3.Parâmetros_Azul'!$G$50*'5.Mira'!$D$32*'6.Cibernético'!$E$23*'9.Simulação'!$I$10)+('7.Config'!$F$12*'3.Parâmetros_Azul'!$E$51*'3.Parâmetros_Azul'!$I$51*'3.Parâmetros_Azul'!$G$51*'5.Mira'!$E$32*'6.Cibernético'!$E$23*'9.Simulação'!$I$10)+('7.Config'!$F$12*'3.Parâmetros_Azul'!$E$52*'3.Parâmetros_Azul'!$I$52*'3.Parâmetros_Azul'!$G$52*'5.Mira'!$F$32*'6.Cibernético'!$E$23*'9.Simulação'!$I$10)+('7.Config'!$F$12*'3.Parâmetros_Azul'!$E$53*'3.Parâmetros_Azul'!$I$53*'3.Parâmetros_Azul'!$G$53*'5.Mira'!$G$32*'6.Cibernético'!$E$23*'9.Simulação'!$I$10)</f>
        <v>0.14158233336619375</v>
      </c>
      <c r="G18" s="69">
        <f>('7.Config'!$F$10*'3.Parâmetros_Azul'!$E$49*'3.Parâmetros_Azul'!$I$49*'3.Parâmetros_Azul'!$G$49*'5.Mira'!$C$32*'6.Cibernético'!$E$23*'9.Simulação'!$I$11)+('7.Config'!$F$10*'3.Parâmetros_Azul'!$E$50*'3.Parâmetros_Azul'!$I$50*'3.Parâmetros_Azul'!$G$50*'5.Mira'!$D$32*'6.Cibernético'!$E$23*'9.Simulação'!$I$11)+('7.Config'!$F$12*'3.Parâmetros_Azul'!$E$51*'3.Parâmetros_Azul'!$I$51*'3.Parâmetros_Azul'!$G$51*'5.Mira'!$E$32*'6.Cibernético'!$E$23*'9.Simulação'!$I$11)+('7.Config'!$F$12*'3.Parâmetros_Azul'!$E$52*'3.Parâmetros_Azul'!$I$52*'3.Parâmetros_Azul'!$G$52*'5.Mira'!$F$32*'6.Cibernético'!$E$23*'9.Simulação'!$I$11)+('7.Config'!$F$12*'3.Parâmetros_Azul'!$E$53*'3.Parâmetros_Azul'!$I$53*'3.Parâmetros_Azul'!$G$53*'5.Mira'!$G$32*'6.Cibernético'!$E$23*'9.Simulação'!$I$11)</f>
        <v>0.1408897310926896</v>
      </c>
      <c r="H18" s="69">
        <f>('7.Config'!$F$10*'3.Parâmetros_Azul'!$E$49*'3.Parâmetros_Azul'!$I$49*'3.Parâmetros_Azul'!$G$49*'5.Mira'!$C$32*'6.Cibernético'!$E$23*'9.Simulação'!$I$12)+('7.Config'!$F$10*'3.Parâmetros_Azul'!$E$50*'3.Parâmetros_Azul'!$I$50*'3.Parâmetros_Azul'!$G$50*'5.Mira'!$D$32*'6.Cibernético'!$E$23*'9.Simulação'!$I$12)+('7.Config'!$F$12*'3.Parâmetros_Azul'!$E$51*'3.Parâmetros_Azul'!$I$51*'3.Parâmetros_Azul'!$G$51*'5.Mira'!$E$32*'6.Cibernético'!$E$23*'9.Simulação'!$I$12)+('7.Config'!$F$12*'3.Parâmetros_Azul'!$E$52*'3.Parâmetros_Azul'!$I$52*'3.Parâmetros_Azul'!$G$52*'5.Mira'!$F$32*'6.Cibernético'!$E$23*'9.Simulação'!$I$12)+('7.Config'!$F$12*'3.Parâmetros_Azul'!$E$53*'3.Parâmetros_Azul'!$I$53*'3.Parâmetros_Azul'!$G$53*'5.Mira'!$G$32*'6.Cibernético'!$E$23*'9.Simulação'!$I$12)</f>
        <v>0.14019944008734564</v>
      </c>
      <c r="I18" s="69">
        <f>('7.Config'!$F$10*'3.Parâmetros_Azul'!$E$49*'3.Parâmetros_Azul'!$I$49*'3.Parâmetros_Azul'!$G$49*'5.Mira'!$C$32*'6.Cibernético'!$E$23*'9.Simulação'!$I$13)+('7.Config'!$F$10*'3.Parâmetros_Azul'!$E$50*'3.Parâmetros_Azul'!$I$50*'3.Parâmetros_Azul'!$G$50*'5.Mira'!$D$32*'6.Cibernético'!$E$23*'9.Simulação'!$I$13)+('7.Config'!$F$12*'3.Parâmetros_Azul'!$E$51*'3.Parâmetros_Azul'!$I$51*'3.Parâmetros_Azul'!$G$51*'5.Mira'!$E$32*'6.Cibernético'!$E$23*'9.Simulação'!$I$13)+('7.Config'!$F$12*'3.Parâmetros_Azul'!$E$52*'3.Parâmetros_Azul'!$I$52*'3.Parâmetros_Azul'!$G$52*'5.Mira'!$F$32*'6.Cibernético'!$E$23*'9.Simulação'!$I$13)+('7.Config'!$F$12*'3.Parâmetros_Azul'!$E$53*'3.Parâmetros_Azul'!$I$53*'3.Parâmetros_Azul'!$G$53*'5.Mira'!$G$32*'6.Cibernético'!$E$23*'9.Simulação'!$I$13)</f>
        <v>0.13951149202513791</v>
      </c>
      <c r="J18" s="69">
        <f>('7.Config'!$F$10*'3.Parâmetros_Azul'!$E$49*'3.Parâmetros_Azul'!$I$49*'3.Parâmetros_Azul'!$G$49*'5.Mira'!$C$32*'6.Cibernético'!$E$23*'9.Simulação'!$I$14)+('7.Config'!$F$10*'3.Parâmetros_Azul'!$E$50*'3.Parâmetros_Azul'!$I$50*'3.Parâmetros_Azul'!$G$50*'5.Mira'!$D$32*'6.Cibernético'!$E$23*'9.Simulação'!$I$14)+('7.Config'!$F$12*'3.Parâmetros_Azul'!$E$51*'3.Parâmetros_Azul'!$I$51*'3.Parâmetros_Azul'!$G$51*'5.Mira'!$E$32*'6.Cibernético'!$E$23*'9.Simulação'!$I$14)+('7.Config'!$F$12*'3.Parâmetros_Azul'!$E$52*'3.Parâmetros_Azul'!$I$52*'3.Parâmetros_Azul'!$G$52*'5.Mira'!$F$32*'6.Cibernético'!$E$23*'9.Simulação'!$I$14)+('7.Config'!$F$12*'3.Parâmetros_Azul'!$E$53*'3.Parâmetros_Azul'!$I$53*'3.Parâmetros_Azul'!$G$53*'5.Mira'!$G$32*'6.Cibernético'!$E$23*'9.Simulação'!$I$14)</f>
        <v>0.13882591894857854</v>
      </c>
      <c r="K18" s="69">
        <f>('7.Config'!$F$10*'3.Parâmetros_Azul'!$E$49*'3.Parâmetros_Azul'!$I$49*'3.Parâmetros_Azul'!$G$49*'5.Mira'!$C$32*'6.Cibernético'!$E$23*'9.Simulação'!$I$15)+('7.Config'!$F$10*'3.Parâmetros_Azul'!$E$50*'3.Parâmetros_Azul'!$I$50*'3.Parâmetros_Azul'!$G$50*'5.Mira'!$D$32*'6.Cibernético'!$E$23*'9.Simulação'!$I$15)+('7.Config'!$F$12*'3.Parâmetros_Azul'!$E$51*'3.Parâmetros_Azul'!$I$51*'3.Parâmetros_Azul'!$G$51*'5.Mira'!$E$32*'6.Cibernético'!$E$23*'9.Simulação'!$I$15)+('7.Config'!$F$12*'3.Parâmetros_Azul'!$E$52*'3.Parâmetros_Azul'!$I$52*'3.Parâmetros_Azul'!$G$52*'5.Mira'!$F$32*'6.Cibernético'!$E$23*'9.Simulação'!$I$15)+('7.Config'!$F$12*'3.Parâmetros_Azul'!$E$53*'3.Parâmetros_Azul'!$I$53*'3.Parâmetros_Azul'!$G$53*'5.Mira'!$G$32*'6.Cibernético'!$E$23*'9.Simulação'!$I$15)</f>
        <v>0.13814275327255104</v>
      </c>
      <c r="L18" s="69">
        <f>('7.Config'!$F$10*'3.Parâmetros_Azul'!$E$49*'3.Parâmetros_Azul'!$I$49*'3.Parâmetros_Azul'!$G$49*'5.Mira'!$C$32*'6.Cibernético'!$E$23*'9.Simulação'!$I$16)+('7.Config'!$F$10*'3.Parâmetros_Azul'!$E$50*'3.Parâmetros_Azul'!$I$50*'3.Parâmetros_Azul'!$G$50*'5.Mira'!$D$32*'6.Cibernético'!$E$23*'9.Simulação'!$I$16)+('7.Config'!$F$12*'3.Parâmetros_Azul'!$E$51*'3.Parâmetros_Azul'!$I$51*'3.Parâmetros_Azul'!$G$51*'5.Mira'!$E$32*'6.Cibernético'!$E$23*'9.Simulação'!$I$16)+('7.Config'!$F$12*'3.Parâmetros_Azul'!$E$52*'3.Parâmetros_Azul'!$I$52*'3.Parâmetros_Azul'!$G$52*'5.Mira'!$F$32*'6.Cibernético'!$E$23*'9.Simulação'!$I$16)+('7.Config'!$F$12*'3.Parâmetros_Azul'!$E$53*'3.Parâmetros_Azul'!$I$53*'3.Parâmetros_Azul'!$G$53*'5.Mira'!$G$32*'6.Cibernético'!$E$23*'9.Simulação'!$I$16)</f>
        <v>0.13746202778921554</v>
      </c>
    </row>
    <row r="19" spans="1:12" x14ac:dyDescent="0.2">
      <c r="A19" s="68" t="s">
        <v>206</v>
      </c>
      <c r="B19" s="40" t="s">
        <v>81</v>
      </c>
      <c r="C19" s="69">
        <f>('7.Config'!$C$10*'3.Parâmetros_Azul'!$D$7*'3.Parâmetros_Azul'!$F$7*'3.Parâmetros_Azul'!$G$7*'3.Parâmetros_Azul'!$H$7*'5.Mira'!$C$6*'6.Cibernético'!$C$23*'6.Cibernético'!$D$24*'9.Simulação'!$C$7)+('7.Config'!$C$10*'3.Parâmetros_Azul'!$D$14*'3.Parâmetros_Azul'!$F$14*'3.Parâmetros_Azul'!$G$14*'3.Parâmetros_Azul'!$H$14*'5.Mira'!$C$7*'6.Cibernético'!$C$23*'6.Cibernético'!$D$24*'9.Simulação'!$D$7)+('7.Config'!$C$11*'3.Parâmetros_Azul'!$D$21*'3.Parâmetros_Azul'!$F$21*'3.Parâmetros_Azul'!$G$21*'3.Parâmetros_Azul'!$H$21*'5.Mira'!$C$8*'6.Cibernético'!$C$25*'6.Cibernético'!$D$24*'9.Simulação'!$E$7)+('7.Config'!$C$12*'3.Parâmetros_Azul'!$D$28*'3.Parâmetros_Azul'!$F$28*'3.Parâmetros_Azul'!$G$28*'3.Parâmetros_Azul'!$H$28*'5.Mira'!$C$9*'6.Cibernético'!$C$23*'6.Cibernético'!$D$24*'9.Simulação'!$F$7)+('7.Config'!$C$12*'3.Parâmetros_Azul'!$D$35*'3.Parâmetros_Azul'!$F$35*'3.Parâmetros_Azul'!$G$35*'3.Parâmetros_Azul'!$H$35*'5.Mira'!$C$10*'6.Cibernético'!$C$23*'6.Cibernético'!$D$24*'9.Simulação'!$G$7)+('7.Config'!$C$13*'3.Parâmetros_Azul'!$D$42*'3.Parâmetros_Azul'!$F$42*'3.Parâmetros_Azul'!$G$42*'3.Parâmetros_Azul'!$H$42*'5.Mira'!$C$11*'6.Cibernético'!$C$23*'6.Cibernético'!$D$24*'9.Simulação'!$H$7)+('7.Config'!$C$13*'3.Parâmetros_Azul'!$D$49*'3.Parâmetros_Azul'!$F$49*'3.Parâmetros_Azul'!$G$49*'3.Parâmetros_Azul'!$H$49*'5.Mira'!$C$12*'6.Cibernético'!$C$23*'6.Cibernético'!$D$24*'9.Simulação'!$I$7)</f>
        <v>1.3569328125000002</v>
      </c>
      <c r="D19" s="69">
        <f>('7.Config'!$C$10*'3.Parâmetros_Azul'!$D$7*'3.Parâmetros_Azul'!$F$7*'3.Parâmetros_Azul'!$G$7*'3.Parâmetros_Azul'!$H$7*'5.Mira'!$C$6*'6.Cibernético'!$C$23*'6.Cibernético'!$D$24*'9.Simulação'!$C$8)+('7.Config'!$C$10*'3.Parâmetros_Azul'!$D$14*'3.Parâmetros_Azul'!$F$14*'3.Parâmetros_Azul'!$G$14*'3.Parâmetros_Azul'!$H$14*'5.Mira'!$C$7*'6.Cibernético'!$C$23*'6.Cibernético'!$D$24*'9.Simulação'!$D$8)+('7.Config'!$C$11*'3.Parâmetros_Azul'!$D$21*'3.Parâmetros_Azul'!$F$21*'3.Parâmetros_Azul'!$G$21*'3.Parâmetros_Azul'!$H$21*'5.Mira'!$C$8*'6.Cibernético'!$C$25*'6.Cibernético'!$D$24*'9.Simulação'!$E$8)+('7.Config'!$C$12*'3.Parâmetros_Azul'!$D$28*'3.Parâmetros_Azul'!$F$28*'3.Parâmetros_Azul'!$G$28*'3.Parâmetros_Azul'!$H$28*'5.Mira'!$C$9*'6.Cibernético'!$C$23*'6.Cibernético'!$D$24*'9.Simulação'!$F$8)+('7.Config'!$C$12*'3.Parâmetros_Azul'!$D$35*'3.Parâmetros_Azul'!$F$35*'3.Parâmetros_Azul'!$G$35*'3.Parâmetros_Azul'!$H$35*'5.Mira'!$C$10*'6.Cibernético'!$C$23*'6.Cibernético'!$D$24*'9.Simulação'!$G$8)+('7.Config'!$C$13*'3.Parâmetros_Azul'!$D$42*'3.Parâmetros_Azul'!$F$42*'3.Parâmetros_Azul'!$G$42*'3.Parâmetros_Azul'!$H$42*'5.Mira'!$C$11*'6.Cibernético'!$C$23*'6.Cibernético'!$D$24*'9.Simulação'!$H$8)+('7.Config'!$C$13*'3.Parâmetros_Azul'!$D$49*'3.Parâmetros_Azul'!$F$49*'3.Parâmetros_Azul'!$G$49*'3.Parâmetros_Azul'!$H$49*'5.Mira'!$C$12*'6.Cibernético'!$C$23*'6.Cibernético'!$D$24*'9.Simulação'!$I$8)</f>
        <v>1.3538678137549709</v>
      </c>
      <c r="E19" s="69">
        <f>('7.Config'!$C$10*'3.Parâmetros_Azul'!$D$7*'3.Parâmetros_Azul'!$F$7*'3.Parâmetros_Azul'!$G$7*'3.Parâmetros_Azul'!$H$7*'5.Mira'!$C$6*'6.Cibernético'!$C$23*'6.Cibernético'!$D$24*'9.Simulação'!$C$9)+('7.Config'!$C$10*'3.Parâmetros_Azul'!$D$14*'3.Parâmetros_Azul'!$F$14*'3.Parâmetros_Azul'!$G$14*'3.Parâmetros_Azul'!$H$14*'5.Mira'!$C$7*'6.Cibernético'!$C$23*'6.Cibernético'!$D$24*'9.Simulação'!$D$9)+('7.Config'!$C$11*'3.Parâmetros_Azul'!$D$21*'3.Parâmetros_Azul'!$F$21*'3.Parâmetros_Azul'!$G$21*'3.Parâmetros_Azul'!$H$21*'5.Mira'!$C$8*'6.Cibernético'!$C$25*'6.Cibernético'!$D$24*'9.Simulação'!$E$9)+('7.Config'!$C$12*'3.Parâmetros_Azul'!$D$28*'3.Parâmetros_Azul'!$F$28*'3.Parâmetros_Azul'!$G$28*'3.Parâmetros_Azul'!$H$28*'5.Mira'!$C$9*'6.Cibernético'!$C$23*'6.Cibernético'!$D$24*'9.Simulação'!$F$9)+('7.Config'!$C$12*'3.Parâmetros_Azul'!$D$35*'3.Parâmetros_Azul'!$F$35*'3.Parâmetros_Azul'!$G$35*'3.Parâmetros_Azul'!$H$35*'5.Mira'!$C$10*'6.Cibernético'!$C$23*'6.Cibernético'!$D$24*'9.Simulação'!$G$9)+('7.Config'!$C$13*'3.Parâmetros_Azul'!$D$42*'3.Parâmetros_Azul'!$F$42*'3.Parâmetros_Azul'!$G$42*'3.Parâmetros_Azul'!$H$42*'5.Mira'!$C$11*'6.Cibernético'!$C$23*'6.Cibernético'!$D$24*'9.Simulação'!$H$9)+('7.Config'!$C$13*'3.Parâmetros_Azul'!$D$49*'3.Parâmetros_Azul'!$F$49*'3.Parâmetros_Azul'!$G$49*'3.Parâmetros_Azul'!$H$49*'5.Mira'!$C$12*'6.Cibernético'!$C$23*'6.Cibernético'!$D$24*'9.Simulação'!$I$9)</f>
        <v>1.3508074490940696</v>
      </c>
      <c r="F19" s="69">
        <f>('7.Config'!$C$10*'3.Parâmetros_Azul'!$D$7*'3.Parâmetros_Azul'!$F$7*'3.Parâmetros_Azul'!$G$7*'3.Parâmetros_Azul'!$H$7*'5.Mira'!$C$6*'6.Cibernético'!$C$23*'6.Cibernético'!$D$24*'9.Simulação'!$C$10)+('7.Config'!$C$10*'3.Parâmetros_Azul'!$D$14*'3.Parâmetros_Azul'!$F$14*'3.Parâmetros_Azul'!$G$14*'3.Parâmetros_Azul'!$H$14*'5.Mira'!$C$7*'6.Cibernético'!$C$23*'6.Cibernético'!$D$24*'9.Simulação'!$D$10)+('7.Config'!$C$11*'3.Parâmetros_Azul'!$D$21*'3.Parâmetros_Azul'!$F$21*'3.Parâmetros_Azul'!$G$21*'3.Parâmetros_Azul'!$H$21*'5.Mira'!$C$8*'6.Cibernético'!$C$25*'6.Cibernético'!$D$24*'9.Simulação'!$E$10)+('7.Config'!$C$12*'3.Parâmetros_Azul'!$D$28*'3.Parâmetros_Azul'!$F$28*'3.Parâmetros_Azul'!$G$28*'3.Parâmetros_Azul'!$H$28*'5.Mira'!$C$9*'6.Cibernético'!$C$23*'6.Cibernético'!$D$24*'9.Simulação'!$F$10)+('7.Config'!$C$12*'3.Parâmetros_Azul'!$D$35*'3.Parâmetros_Azul'!$F$35*'3.Parâmetros_Azul'!$G$35*'3.Parâmetros_Azul'!$H$35*'5.Mira'!$C$10*'6.Cibernético'!$C$23*'6.Cibernético'!$D$24*'9.Simulação'!$G$10)+('7.Config'!$C$13*'3.Parâmetros_Azul'!$D$42*'3.Parâmetros_Azul'!$F$42*'3.Parâmetros_Azul'!$G$42*'3.Parâmetros_Azul'!$H$42*'5.Mira'!$C$11*'6.Cibernético'!$C$23*'6.Cibernético'!$D$24*'9.Simulação'!$H$10)+('7.Config'!$C$13*'3.Parâmetros_Azul'!$D$49*'3.Parâmetros_Azul'!$F$49*'3.Parâmetros_Azul'!$G$49*'3.Parâmetros_Azul'!$H$49*'5.Mira'!$C$12*'6.Cibernético'!$C$23*'6.Cibernético'!$D$24*'9.Simulação'!$I$10)</f>
        <v>1.3477518863457032</v>
      </c>
      <c r="G19" s="69">
        <f>('7.Config'!$C$10*'3.Parâmetros_Azul'!$D$7*'3.Parâmetros_Azul'!$F$7*'3.Parâmetros_Azul'!$G$7*'3.Parâmetros_Azul'!$H$7*'5.Mira'!$C$6*'6.Cibernético'!$C$23*'6.Cibernético'!$D$24*'9.Simulação'!$C$11)+('7.Config'!$C$10*'3.Parâmetros_Azul'!$D$14*'3.Parâmetros_Azul'!$F$14*'3.Parâmetros_Azul'!$G$14*'3.Parâmetros_Azul'!$H$14*'5.Mira'!$C$7*'6.Cibernético'!$C$23*'6.Cibernético'!$D$24*'9.Simulação'!$D$11)+('7.Config'!$C$11*'3.Parâmetros_Azul'!$D$21*'3.Parâmetros_Azul'!$F$21*'3.Parâmetros_Azul'!$G$21*'3.Parâmetros_Azul'!$H$21*'5.Mira'!$C$8*'6.Cibernético'!$C$25*'6.Cibernético'!$D$24*'9.Simulação'!$E$11)+('7.Config'!$C$12*'3.Parâmetros_Azul'!$D$28*'3.Parâmetros_Azul'!$F$28*'3.Parâmetros_Azul'!$G$28*'3.Parâmetros_Azul'!$H$28*'5.Mira'!$C$9*'6.Cibernético'!$C$23*'6.Cibernético'!$D$24*'9.Simulação'!$F$11)+('7.Config'!$C$12*'3.Parâmetros_Azul'!$D$35*'3.Parâmetros_Azul'!$F$35*'3.Parâmetros_Azul'!$G$35*'3.Parâmetros_Azul'!$H$35*'5.Mira'!$C$10*'6.Cibernético'!$C$23*'6.Cibernético'!$D$24*'9.Simulação'!$G$11)+('7.Config'!$C$13*'3.Parâmetros_Azul'!$D$42*'3.Parâmetros_Azul'!$F$42*'3.Parâmetros_Azul'!$G$42*'3.Parâmetros_Azul'!$H$42*'5.Mira'!$C$11*'6.Cibernético'!$C$23*'6.Cibernético'!$D$24*'9.Simulação'!$H$11)+('7.Config'!$C$13*'3.Parâmetros_Azul'!$D$49*'3.Parâmetros_Azul'!$F$49*'3.Parâmetros_Azul'!$G$49*'3.Parâmetros_Azul'!$H$49*'5.Mira'!$C$12*'6.Cibernético'!$C$23*'6.Cibernético'!$D$24*'9.Simulação'!$I$11)</f>
        <v>1.344700925047865</v>
      </c>
      <c r="H19" s="69">
        <f>('7.Config'!$C$10*'3.Parâmetros_Azul'!$D$7*'3.Parâmetros_Azul'!$F$7*'3.Parâmetros_Azul'!$G$7*'3.Parâmetros_Azul'!$H$7*'5.Mira'!$C$6*'6.Cibernético'!$C$23*'6.Cibernético'!$D$24*'9.Simulação'!$C$12)+('7.Config'!$C$10*'3.Parâmetros_Azul'!$D$14*'3.Parâmetros_Azul'!$F$14*'3.Parâmetros_Azul'!$G$14*'3.Parâmetros_Azul'!$H$14*'5.Mira'!$C$7*'6.Cibernético'!$C$23*'6.Cibernético'!$D$24*'9.Simulação'!$D$12)+('7.Config'!$C$11*'3.Parâmetros_Azul'!$D$21*'3.Parâmetros_Azul'!$F$21*'3.Parâmetros_Azul'!$G$21*'3.Parâmetros_Azul'!$H$21*'5.Mira'!$C$8*'6.Cibernético'!$C$25*'6.Cibernético'!$D$24*'9.Simulação'!$E$12)+('7.Config'!$C$12*'3.Parâmetros_Azul'!$D$28*'3.Parâmetros_Azul'!$F$28*'3.Parâmetros_Azul'!$G$28*'3.Parâmetros_Azul'!$H$28*'5.Mira'!$C$9*'6.Cibernético'!$C$23*'6.Cibernético'!$D$24*'9.Simulação'!$F$12)+('7.Config'!$C$12*'3.Parâmetros_Azul'!$D$35*'3.Parâmetros_Azul'!$F$35*'3.Parâmetros_Azul'!$G$35*'3.Parâmetros_Azul'!$H$35*'5.Mira'!$C$10*'6.Cibernético'!$C$23*'6.Cibernético'!$D$24*'9.Simulação'!$G$12)+('7.Config'!$C$13*'3.Parâmetros_Azul'!$D$42*'3.Parâmetros_Azul'!$F$42*'3.Parâmetros_Azul'!$G$42*'3.Parâmetros_Azul'!$H$42*'5.Mira'!$C$11*'6.Cibernético'!$C$23*'6.Cibernético'!$D$24*'9.Simulação'!$H$12)+('7.Config'!$C$13*'3.Parâmetros_Azul'!$D$49*'3.Parâmetros_Azul'!$F$49*'3.Parâmetros_Azul'!$G$49*'3.Parâmetros_Azul'!$H$49*'5.Mira'!$C$12*'6.Cibernético'!$C$23*'6.Cibernético'!$D$24*'9.Simulação'!$I$12)</f>
        <v>1.3416516283921311</v>
      </c>
      <c r="I19" s="69">
        <f>('7.Config'!$C$10*'3.Parâmetros_Azul'!$D$7*'3.Parâmetros_Azul'!$F$7*'3.Parâmetros_Azul'!$G$7*'3.Parâmetros_Azul'!$H$7*'5.Mira'!$C$6*'6.Cibernético'!$C$23*'6.Cibernético'!$D$24*'9.Simulação'!$C$13)+('7.Config'!$C$10*'3.Parâmetros_Azul'!$D$14*'3.Parâmetros_Azul'!$F$14*'3.Parâmetros_Azul'!$G$14*'3.Parâmetros_Azul'!$H$14*'5.Mira'!$C$7*'6.Cibernético'!$C$23*'6.Cibernético'!$D$24*'9.Simulação'!$D$13)+('7.Config'!$C$11*'3.Parâmetros_Azul'!$D$21*'3.Parâmetros_Azul'!$F$21*'3.Parâmetros_Azul'!$G$21*'3.Parâmetros_Azul'!$H$21*'5.Mira'!$C$8*'6.Cibernético'!$C$25*'6.Cibernético'!$D$24*'9.Simulação'!$E$13)+('7.Config'!$C$12*'3.Parâmetros_Azul'!$D$28*'3.Parâmetros_Azul'!$F$28*'3.Parâmetros_Azul'!$G$28*'3.Parâmetros_Azul'!$H$28*'5.Mira'!$C$9*'6.Cibernético'!$C$23*'6.Cibernético'!$D$24*'9.Simulação'!$F$13)+('7.Config'!$C$12*'3.Parâmetros_Azul'!$D$35*'3.Parâmetros_Azul'!$F$35*'3.Parâmetros_Azul'!$G$35*'3.Parâmetros_Azul'!$H$35*'5.Mira'!$C$10*'6.Cibernético'!$C$23*'6.Cibernético'!$D$24*'9.Simulação'!$G$13)+('7.Config'!$C$13*'3.Parâmetros_Azul'!$D$42*'3.Parâmetros_Azul'!$F$42*'3.Parâmetros_Azul'!$G$42*'3.Parâmetros_Azul'!$H$42*'5.Mira'!$C$11*'6.Cibernético'!$C$23*'6.Cibernético'!$D$24*'9.Simulação'!$H$13)+('7.Config'!$C$13*'3.Parâmetros_Azul'!$D$49*'3.Parâmetros_Azul'!$F$49*'3.Parâmetros_Azul'!$G$49*'3.Parâmetros_Azul'!$H$49*'5.Mira'!$C$12*'6.Cibernético'!$C$23*'6.Cibernético'!$D$24*'9.Simulação'!$I$13)</f>
        <v>1.3386041424125386</v>
      </c>
      <c r="J19" s="69">
        <f>('7.Config'!$C$10*'3.Parâmetros_Azul'!$D$7*'3.Parâmetros_Azul'!$F$7*'3.Parâmetros_Azul'!$G$7*'3.Parâmetros_Azul'!$H$7*'5.Mira'!$C$6*'6.Cibernético'!$C$23*'6.Cibernético'!$D$24*'9.Simulação'!$C$14)+('7.Config'!$C$10*'3.Parâmetros_Azul'!$D$14*'3.Parâmetros_Azul'!$F$14*'3.Parâmetros_Azul'!$G$14*'3.Parâmetros_Azul'!$H$14*'5.Mira'!$C$7*'6.Cibernético'!$C$23*'6.Cibernético'!$D$24*'9.Simulação'!$D$14)+('7.Config'!$C$11*'3.Parâmetros_Azul'!$D$21*'3.Parâmetros_Azul'!$F$21*'3.Parâmetros_Azul'!$G$21*'3.Parâmetros_Azul'!$H$21*'5.Mira'!$C$8*'6.Cibernético'!$C$25*'6.Cibernético'!$D$24*'9.Simulação'!$E$14)+('7.Config'!$C$12*'3.Parâmetros_Azul'!$D$28*'3.Parâmetros_Azul'!$F$28*'3.Parâmetros_Azul'!$G$28*'3.Parâmetros_Azul'!$H$28*'5.Mira'!$C$9*'6.Cibernético'!$C$23*'6.Cibernético'!$D$24*'9.Simulação'!$F$14)+('7.Config'!$C$12*'3.Parâmetros_Azul'!$D$35*'3.Parâmetros_Azul'!$F$35*'3.Parâmetros_Azul'!$G$35*'3.Parâmetros_Azul'!$H$35*'5.Mira'!$C$10*'6.Cibernético'!$C$23*'6.Cibernético'!$D$24*'9.Simulação'!$G$14)+('7.Config'!$C$13*'3.Parâmetros_Azul'!$D$42*'3.Parâmetros_Azul'!$F$42*'3.Parâmetros_Azul'!$G$42*'3.Parâmetros_Azul'!$H$42*'5.Mira'!$C$11*'6.Cibernético'!$C$23*'6.Cibernético'!$D$24*'9.Simulação'!$H$14)+('7.Config'!$C$13*'3.Parâmetros_Azul'!$D$49*'3.Parâmetros_Azul'!$F$49*'3.Parâmetros_Azul'!$G$49*'3.Parâmetros_Azul'!$H$49*'5.Mira'!$C$12*'6.Cibernético'!$C$23*'6.Cibernético'!$D$24*'9.Simulação'!$I$14)</f>
        <v>1.3355586159453887</v>
      </c>
      <c r="K19" s="69">
        <f>('7.Config'!$C$10*'3.Parâmetros_Azul'!$D$7*'3.Parâmetros_Azul'!$F$7*'3.Parâmetros_Azul'!$G$7*'3.Parâmetros_Azul'!$H$7*'5.Mira'!$C$6*'6.Cibernético'!$C$23*'6.Cibernético'!$D$24*'9.Simulação'!$C$15)+('7.Config'!$C$10*'3.Parâmetros_Azul'!$D$14*'3.Parâmetros_Azul'!$F$14*'3.Parâmetros_Azul'!$G$14*'3.Parâmetros_Azul'!$H$14*'5.Mira'!$C$7*'6.Cibernético'!$C$23*'6.Cibernético'!$D$24*'9.Simulação'!$D$15)+('7.Config'!$C$11*'3.Parâmetros_Azul'!$D$21*'3.Parâmetros_Azul'!$F$21*'3.Parâmetros_Azul'!$G$21*'3.Parâmetros_Azul'!$H$21*'5.Mira'!$C$8*'6.Cibernético'!$C$25*'6.Cibernético'!$D$24*'9.Simulação'!$E$15)+('7.Config'!$C$12*'3.Parâmetros_Azul'!$D$28*'3.Parâmetros_Azul'!$F$28*'3.Parâmetros_Azul'!$G$28*'3.Parâmetros_Azul'!$H$28*'5.Mira'!$C$9*'6.Cibernético'!$C$23*'6.Cibernético'!$D$24*'9.Simulação'!$F$15)+('7.Config'!$C$12*'3.Parâmetros_Azul'!$D$35*'3.Parâmetros_Azul'!$F$35*'3.Parâmetros_Azul'!$G$35*'3.Parâmetros_Azul'!$H$35*'5.Mira'!$C$10*'6.Cibernético'!$C$23*'6.Cibernético'!$D$24*'9.Simulação'!$G$15)+('7.Config'!$C$13*'3.Parâmetros_Azul'!$D$42*'3.Parâmetros_Azul'!$F$42*'3.Parâmetros_Azul'!$G$42*'3.Parâmetros_Azul'!$H$42*'5.Mira'!$C$11*'6.Cibernético'!$C$23*'6.Cibernético'!$D$24*'9.Simulação'!$H$15)+('7.Config'!$C$13*'3.Parâmetros_Azul'!$D$49*'3.Parâmetros_Azul'!$F$49*'3.Parâmetros_Azul'!$G$49*'3.Parâmetros_Azul'!$H$49*'5.Mira'!$C$12*'6.Cibernético'!$C$23*'6.Cibernético'!$D$24*'9.Simulação'!$I$15)</f>
        <v>1.3325152006753995</v>
      </c>
      <c r="L19" s="69">
        <f>('7.Config'!$C$10*'3.Parâmetros_Azul'!$D$7*'3.Parâmetros_Azul'!$F$7*'3.Parâmetros_Azul'!$G$7*'3.Parâmetros_Azul'!$H$7*'5.Mira'!$C$6*'6.Cibernético'!$C$23*'6.Cibernético'!$D$24*'9.Simulação'!$C$16)+('7.Config'!$C$10*'3.Parâmetros_Azul'!$D$14*'3.Parâmetros_Azul'!$F$14*'3.Parâmetros_Azul'!$G$14*'3.Parâmetros_Azul'!$H$14*'5.Mira'!$C$7*'6.Cibernético'!$C$23*'6.Cibernético'!$D$24*'9.Simulação'!$D$16)+('7.Config'!$C$11*'3.Parâmetros_Azul'!$D$21*'3.Parâmetros_Azul'!$F$21*'3.Parâmetros_Azul'!$G$21*'3.Parâmetros_Azul'!$H$21*'5.Mira'!$C$8*'6.Cibernético'!$C$25*'6.Cibernético'!$D$24*'9.Simulação'!$E$16)+('7.Config'!$C$12*'3.Parâmetros_Azul'!$D$28*'3.Parâmetros_Azul'!$F$28*'3.Parâmetros_Azul'!$G$28*'3.Parâmetros_Azul'!$H$28*'5.Mira'!$C$9*'6.Cibernético'!$C$23*'6.Cibernético'!$D$24*'9.Simulação'!$F$16)+('7.Config'!$C$12*'3.Parâmetros_Azul'!$D$35*'3.Parâmetros_Azul'!$F$35*'3.Parâmetros_Azul'!$G$35*'3.Parâmetros_Azul'!$H$35*'5.Mira'!$C$10*'6.Cibernético'!$C$23*'6.Cibernético'!$D$24*'9.Simulação'!$G$16)+('7.Config'!$C$13*'3.Parâmetros_Azul'!$D$42*'3.Parâmetros_Azul'!$F$42*'3.Parâmetros_Azul'!$G$42*'3.Parâmetros_Azul'!$H$42*'5.Mira'!$C$11*'6.Cibernético'!$C$23*'6.Cibernético'!$D$24*'9.Simulação'!$H$16)+('7.Config'!$C$13*'3.Parâmetros_Azul'!$D$49*'3.Parâmetros_Azul'!$F$49*'3.Parâmetros_Azul'!$G$49*'3.Parâmetros_Azul'!$H$49*'5.Mira'!$C$12*'6.Cibernético'!$C$23*'6.Cibernético'!$D$24*'9.Simulação'!$I$16)</f>
        <v>1.3294740511825838</v>
      </c>
    </row>
    <row r="20" spans="1:12" x14ac:dyDescent="0.2">
      <c r="A20" s="68" t="s">
        <v>206</v>
      </c>
      <c r="B20" s="40" t="s">
        <v>83</v>
      </c>
      <c r="C20" s="69">
        <f>('7.Config'!$C$10*'3.Parâmetros_Azul'!$D$8*'3.Parâmetros_Azul'!$F$8*'3.Parâmetros_Azul'!$G$8*'3.Parâmetros_Azul'!$H$8*'5.Mira'!$D$6*'6.Cibernético'!$C$23*'6.Cibernético'!$D$24*'9.Simulação'!$C$7)+('7.Config'!$C$10*'3.Parâmetros_Azul'!$D$15*'3.Parâmetros_Azul'!$F$15*'3.Parâmetros_Azul'!$G$15*'3.Parâmetros_Azul'!$H$15*'5.Mira'!$D$7*'6.Cibernético'!$C$23*'6.Cibernético'!$D$24*'9.Simulação'!$D$7)+('7.Config'!$C$11*'3.Parâmetros_Azul'!$D$22*'3.Parâmetros_Azul'!$F$22*'3.Parâmetros_Azul'!$G$22*'3.Parâmetros_Azul'!$H$22*'5.Mira'!$D$8*'6.Cibernético'!$C$25*'6.Cibernético'!$D$24*'9.Simulação'!$E$7)+('7.Config'!$C$12*'3.Parâmetros_Azul'!$D$29*'3.Parâmetros_Azul'!$F$29*'3.Parâmetros_Azul'!$G$29*'3.Parâmetros_Azul'!$H$29*'5.Mira'!$D$9*'6.Cibernético'!$C$23*'6.Cibernético'!$D$24*'9.Simulação'!$F$7)+('7.Config'!$C$12*'3.Parâmetros_Azul'!$D$36*'3.Parâmetros_Azul'!$F$36*'3.Parâmetros_Azul'!$G$36*'3.Parâmetros_Azul'!$H$36*'5.Mira'!$D$10*'6.Cibernético'!$C$23*'6.Cibernético'!$D$24*'9.Simulação'!$G$7)+('7.Config'!$C$13*'3.Parâmetros_Azul'!$D$43*'3.Parâmetros_Azul'!$F$43*'3.Parâmetros_Azul'!$G$43*'3.Parâmetros_Azul'!$H$43*'5.Mira'!$D$11*'6.Cibernético'!$C$23*'6.Cibernético'!$D$24*'9.Simulação'!$H$7)+('7.Config'!$C$13*'3.Parâmetros_Azul'!$D$50*'3.Parâmetros_Azul'!$F$50*'3.Parâmetros_Azul'!$G$50*'3.Parâmetros_Azul'!$H$50*'5.Mira'!$D$12*'6.Cibernético'!$C$23*'6.Cibernético'!$D$24*'9.Simulação'!$I$7)</f>
        <v>1.3569328125000002</v>
      </c>
      <c r="D20" s="69">
        <f>('7.Config'!$C$10*'3.Parâmetros_Azul'!$D$8*'3.Parâmetros_Azul'!$F$8*'3.Parâmetros_Azul'!$G$8*'3.Parâmetros_Azul'!$H$8*'5.Mira'!$D$6*'6.Cibernético'!$C$23*'6.Cibernético'!$D$24*'9.Simulação'!$C$8)+('7.Config'!$C$10*'3.Parâmetros_Azul'!$D$15*'3.Parâmetros_Azul'!$F$15*'3.Parâmetros_Azul'!$G$15*'3.Parâmetros_Azul'!$H$15*'5.Mira'!$D$7*'6.Cibernético'!$C$23*'6.Cibernético'!$D$24*'9.Simulação'!$D$8)+('7.Config'!$C$11*'3.Parâmetros_Azul'!$D$22*'3.Parâmetros_Azul'!$F$22*'3.Parâmetros_Azul'!$G$22*'3.Parâmetros_Azul'!$H$22*'5.Mira'!$D$8*'6.Cibernético'!$C$25*'6.Cibernético'!$D$24*'9.Simulação'!$E$8)+('7.Config'!$C$12*'3.Parâmetros_Azul'!$D$29*'3.Parâmetros_Azul'!$F$29*'3.Parâmetros_Azul'!$G$29*'3.Parâmetros_Azul'!$H$29*'5.Mira'!$D$9*'6.Cibernético'!$C$23*'6.Cibernético'!$D$24*'9.Simulação'!$F$8)+('7.Config'!$C$12*'3.Parâmetros_Azul'!$D$36*'3.Parâmetros_Azul'!$F$36*'3.Parâmetros_Azul'!$G$36*'3.Parâmetros_Azul'!$H$36*'5.Mira'!$D$10*'6.Cibernético'!$C$23*'6.Cibernético'!$D$24*'9.Simulação'!$G$8)+('7.Config'!$C$13*'3.Parâmetros_Azul'!$D$43*'3.Parâmetros_Azul'!$F$43*'3.Parâmetros_Azul'!$G$43*'3.Parâmetros_Azul'!$H$43*'5.Mira'!$D$11*'6.Cibernético'!$C$23*'6.Cibernético'!$D$24*'9.Simulação'!$H$8)+('7.Config'!$C$13*'3.Parâmetros_Azul'!$D$50*'3.Parâmetros_Azul'!$F$50*'3.Parâmetros_Azul'!$G$50*'3.Parâmetros_Azul'!$H$50*'5.Mira'!$D$12*'6.Cibernético'!$C$23*'6.Cibernético'!$D$24*'9.Simulação'!$I$8)</f>
        <v>1.3538678137549709</v>
      </c>
      <c r="E20" s="69">
        <f>('7.Config'!$C$10*'3.Parâmetros_Azul'!$D$8*'3.Parâmetros_Azul'!$F$8*'3.Parâmetros_Azul'!$G$8*'3.Parâmetros_Azul'!$H$8*'5.Mira'!$D$6*'6.Cibernético'!$C$23*'6.Cibernético'!$D$24*'9.Simulação'!$C$9)+('7.Config'!$C$10*'3.Parâmetros_Azul'!$D$15*'3.Parâmetros_Azul'!$F$15*'3.Parâmetros_Azul'!$G$15*'3.Parâmetros_Azul'!$H$15*'5.Mira'!$D$7*'6.Cibernético'!$C$23*'6.Cibernético'!$D$24*'9.Simulação'!$D$9)+('7.Config'!$C$11*'3.Parâmetros_Azul'!$D$22*'3.Parâmetros_Azul'!$F$22*'3.Parâmetros_Azul'!$G$22*'3.Parâmetros_Azul'!$H$22*'5.Mira'!$D$8*'6.Cibernético'!$C$25*'6.Cibernético'!$D$24*'9.Simulação'!$E$9)+('7.Config'!$C$12*'3.Parâmetros_Azul'!$D$29*'3.Parâmetros_Azul'!$F$29*'3.Parâmetros_Azul'!$G$29*'3.Parâmetros_Azul'!$H$29*'5.Mira'!$D$9*'6.Cibernético'!$C$23*'6.Cibernético'!$D$24*'9.Simulação'!$F$9)+('7.Config'!$C$12*'3.Parâmetros_Azul'!$D$36*'3.Parâmetros_Azul'!$F$36*'3.Parâmetros_Azul'!$G$36*'3.Parâmetros_Azul'!$H$36*'5.Mira'!$D$10*'6.Cibernético'!$C$23*'6.Cibernético'!$D$24*'9.Simulação'!$G$9)+('7.Config'!$C$13*'3.Parâmetros_Azul'!$D$43*'3.Parâmetros_Azul'!$F$43*'3.Parâmetros_Azul'!$G$43*'3.Parâmetros_Azul'!$H$43*'5.Mira'!$D$11*'6.Cibernético'!$C$23*'6.Cibernético'!$D$24*'9.Simulação'!$H$9)+('7.Config'!$C$13*'3.Parâmetros_Azul'!$D$50*'3.Parâmetros_Azul'!$F$50*'3.Parâmetros_Azul'!$G$50*'3.Parâmetros_Azul'!$H$50*'5.Mira'!$D$12*'6.Cibernético'!$C$23*'6.Cibernético'!$D$24*'9.Simulação'!$I$9)</f>
        <v>1.3508074490940696</v>
      </c>
      <c r="F20" s="69">
        <f>('7.Config'!$C$10*'3.Parâmetros_Azul'!$D$8*'3.Parâmetros_Azul'!$F$8*'3.Parâmetros_Azul'!$G$8*'3.Parâmetros_Azul'!$H$8*'5.Mira'!$D$6*'6.Cibernético'!$C$23*'6.Cibernético'!$D$24*'9.Simulação'!$C$10)+('7.Config'!$C$10*'3.Parâmetros_Azul'!$D$15*'3.Parâmetros_Azul'!$F$15*'3.Parâmetros_Azul'!$G$15*'3.Parâmetros_Azul'!$H$15*'5.Mira'!$D$7*'6.Cibernético'!$C$23*'6.Cibernético'!$D$24*'9.Simulação'!$D$10)+('7.Config'!$C$11*'3.Parâmetros_Azul'!$D$22*'3.Parâmetros_Azul'!$F$22*'3.Parâmetros_Azul'!$G$22*'3.Parâmetros_Azul'!$H$22*'5.Mira'!$D$8*'6.Cibernético'!$C$25*'6.Cibernético'!$D$24*'9.Simulação'!$E$10)+('7.Config'!$C$12*'3.Parâmetros_Azul'!$D$29*'3.Parâmetros_Azul'!$F$29*'3.Parâmetros_Azul'!$G$29*'3.Parâmetros_Azul'!$H$29*'5.Mira'!$D$9*'6.Cibernético'!$C$23*'6.Cibernético'!$D$24*'9.Simulação'!$F$10)+('7.Config'!$C$12*'3.Parâmetros_Azul'!$D$36*'3.Parâmetros_Azul'!$F$36*'3.Parâmetros_Azul'!$G$36*'3.Parâmetros_Azul'!$H$36*'5.Mira'!$D$10*'6.Cibernético'!$C$23*'6.Cibernético'!$D$24*'9.Simulação'!$G$10)+('7.Config'!$C$13*'3.Parâmetros_Azul'!$D$43*'3.Parâmetros_Azul'!$F$43*'3.Parâmetros_Azul'!$G$43*'3.Parâmetros_Azul'!$H$43*'5.Mira'!$D$11*'6.Cibernético'!$C$23*'6.Cibernético'!$D$24*'9.Simulação'!$H$10)+('7.Config'!$C$13*'3.Parâmetros_Azul'!$D$50*'3.Parâmetros_Azul'!$F$50*'3.Parâmetros_Azul'!$G$50*'3.Parâmetros_Azul'!$H$50*'5.Mira'!$D$12*'6.Cibernético'!$C$23*'6.Cibernético'!$D$24*'9.Simulação'!$I$10)</f>
        <v>1.3477518863457032</v>
      </c>
      <c r="G20" s="69">
        <f>('7.Config'!$C$10*'3.Parâmetros_Azul'!$D$8*'3.Parâmetros_Azul'!$F$8*'3.Parâmetros_Azul'!$G$8*'3.Parâmetros_Azul'!$H$8*'5.Mira'!$D$6*'6.Cibernético'!$C$23*'6.Cibernético'!$D$24*'9.Simulação'!$C$11)+('7.Config'!$C$10*'3.Parâmetros_Azul'!$D$15*'3.Parâmetros_Azul'!$F$15*'3.Parâmetros_Azul'!$G$15*'3.Parâmetros_Azul'!$H$15*'5.Mira'!$D$7*'6.Cibernético'!$C$23*'6.Cibernético'!$D$24*'9.Simulação'!$D$11)+('7.Config'!$C$11*'3.Parâmetros_Azul'!$D$22*'3.Parâmetros_Azul'!$F$22*'3.Parâmetros_Azul'!$G$22*'3.Parâmetros_Azul'!$H$22*'5.Mira'!$D$8*'6.Cibernético'!$C$25*'6.Cibernético'!$D$24*'9.Simulação'!$E$11)+('7.Config'!$C$12*'3.Parâmetros_Azul'!$D$29*'3.Parâmetros_Azul'!$F$29*'3.Parâmetros_Azul'!$G$29*'3.Parâmetros_Azul'!$H$29*'5.Mira'!$D$9*'6.Cibernético'!$C$23*'6.Cibernético'!$D$24*'9.Simulação'!$F$11)+('7.Config'!$C$12*'3.Parâmetros_Azul'!$D$36*'3.Parâmetros_Azul'!$F$36*'3.Parâmetros_Azul'!$G$36*'3.Parâmetros_Azul'!$H$36*'5.Mira'!$D$10*'6.Cibernético'!$C$23*'6.Cibernético'!$D$24*'9.Simulação'!$G$11)+('7.Config'!$C$13*'3.Parâmetros_Azul'!$D$43*'3.Parâmetros_Azul'!$F$43*'3.Parâmetros_Azul'!$G$43*'3.Parâmetros_Azul'!$H$43*'5.Mira'!$D$11*'6.Cibernético'!$C$23*'6.Cibernético'!$D$24*'9.Simulação'!$H$11)+('7.Config'!$C$13*'3.Parâmetros_Azul'!$D$50*'3.Parâmetros_Azul'!$F$50*'3.Parâmetros_Azul'!$G$50*'3.Parâmetros_Azul'!$H$50*'5.Mira'!$D$12*'6.Cibernético'!$C$23*'6.Cibernético'!$D$24*'9.Simulação'!$I$11)</f>
        <v>1.344700925047865</v>
      </c>
      <c r="H20" s="69">
        <f>('7.Config'!$C$10*'3.Parâmetros_Azul'!$D$8*'3.Parâmetros_Azul'!$F$8*'3.Parâmetros_Azul'!$G$8*'3.Parâmetros_Azul'!$H$8*'5.Mira'!$D$6*'6.Cibernético'!$C$23*'6.Cibernético'!$D$24*'9.Simulação'!$C$12)+('7.Config'!$C$10*'3.Parâmetros_Azul'!$D$15*'3.Parâmetros_Azul'!$F$15*'3.Parâmetros_Azul'!$G$15*'3.Parâmetros_Azul'!$H$15*'5.Mira'!$D$7*'6.Cibernético'!$C$23*'6.Cibernético'!$D$24*'9.Simulação'!$D$12)+('7.Config'!$C$11*'3.Parâmetros_Azul'!$D$22*'3.Parâmetros_Azul'!$F$22*'3.Parâmetros_Azul'!$G$22*'3.Parâmetros_Azul'!$H$22*'5.Mira'!$D$8*'6.Cibernético'!$C$25*'6.Cibernético'!$D$24*'9.Simulação'!$E$12)+('7.Config'!$C$12*'3.Parâmetros_Azul'!$D$29*'3.Parâmetros_Azul'!$F$29*'3.Parâmetros_Azul'!$G$29*'3.Parâmetros_Azul'!$H$29*'5.Mira'!$D$9*'6.Cibernético'!$C$23*'6.Cibernético'!$D$24*'9.Simulação'!$F$12)+('7.Config'!$C$12*'3.Parâmetros_Azul'!$D$36*'3.Parâmetros_Azul'!$F$36*'3.Parâmetros_Azul'!$G$36*'3.Parâmetros_Azul'!$H$36*'5.Mira'!$D$10*'6.Cibernético'!$C$23*'6.Cibernético'!$D$24*'9.Simulação'!$G$12)+('7.Config'!$C$13*'3.Parâmetros_Azul'!$D$43*'3.Parâmetros_Azul'!$F$43*'3.Parâmetros_Azul'!$G$43*'3.Parâmetros_Azul'!$H$43*'5.Mira'!$D$11*'6.Cibernético'!$C$23*'6.Cibernético'!$D$24*'9.Simulação'!$H$12)+('7.Config'!$C$13*'3.Parâmetros_Azul'!$D$50*'3.Parâmetros_Azul'!$F$50*'3.Parâmetros_Azul'!$G$50*'3.Parâmetros_Azul'!$H$50*'5.Mira'!$D$12*'6.Cibernético'!$C$23*'6.Cibernético'!$D$24*'9.Simulação'!$I$12)</f>
        <v>1.3416516283921311</v>
      </c>
      <c r="I20" s="69">
        <f>('7.Config'!$C$10*'3.Parâmetros_Azul'!$D$8*'3.Parâmetros_Azul'!$F$8*'3.Parâmetros_Azul'!$G$8*'3.Parâmetros_Azul'!$H$8*'5.Mira'!$D$6*'6.Cibernético'!$C$23*'6.Cibernético'!$D$24*'9.Simulação'!$C$13)+('7.Config'!$C$10*'3.Parâmetros_Azul'!$D$15*'3.Parâmetros_Azul'!$F$15*'3.Parâmetros_Azul'!$G$15*'3.Parâmetros_Azul'!$H$15*'5.Mira'!$D$7*'6.Cibernético'!$C$23*'6.Cibernético'!$D$24*'9.Simulação'!$D$13)+('7.Config'!$C$11*'3.Parâmetros_Azul'!$D$22*'3.Parâmetros_Azul'!$F$22*'3.Parâmetros_Azul'!$G$22*'3.Parâmetros_Azul'!$H$22*'5.Mira'!$D$8*'6.Cibernético'!$C$25*'6.Cibernético'!$D$24*'9.Simulação'!$E$13)+('7.Config'!$C$12*'3.Parâmetros_Azul'!$D$29*'3.Parâmetros_Azul'!$F$29*'3.Parâmetros_Azul'!$G$29*'3.Parâmetros_Azul'!$H$29*'5.Mira'!$D$9*'6.Cibernético'!$C$23*'6.Cibernético'!$D$24*'9.Simulação'!$F$13)+('7.Config'!$C$12*'3.Parâmetros_Azul'!$D$36*'3.Parâmetros_Azul'!$F$36*'3.Parâmetros_Azul'!$G$36*'3.Parâmetros_Azul'!$H$36*'5.Mira'!$D$10*'6.Cibernético'!$C$23*'6.Cibernético'!$D$24*'9.Simulação'!$G$13)+('7.Config'!$C$13*'3.Parâmetros_Azul'!$D$43*'3.Parâmetros_Azul'!$F$43*'3.Parâmetros_Azul'!$G$43*'3.Parâmetros_Azul'!$H$43*'5.Mira'!$D$11*'6.Cibernético'!$C$23*'6.Cibernético'!$D$24*'9.Simulação'!$H$13)+('7.Config'!$C$13*'3.Parâmetros_Azul'!$D$50*'3.Parâmetros_Azul'!$F$50*'3.Parâmetros_Azul'!$G$50*'3.Parâmetros_Azul'!$H$50*'5.Mira'!$D$12*'6.Cibernético'!$C$23*'6.Cibernético'!$D$24*'9.Simulação'!$I$13)</f>
        <v>1.3386041424125386</v>
      </c>
      <c r="J20" s="69">
        <f>('7.Config'!$C$10*'3.Parâmetros_Azul'!$D$8*'3.Parâmetros_Azul'!$F$8*'3.Parâmetros_Azul'!$G$8*'3.Parâmetros_Azul'!$H$8*'5.Mira'!$D$6*'6.Cibernético'!$C$23*'6.Cibernético'!$D$24*'9.Simulação'!$C$14)+('7.Config'!$C$10*'3.Parâmetros_Azul'!$D$15*'3.Parâmetros_Azul'!$F$15*'3.Parâmetros_Azul'!$G$15*'3.Parâmetros_Azul'!$H$15*'5.Mira'!$D$7*'6.Cibernético'!$C$23*'6.Cibernético'!$D$24*'9.Simulação'!$D$14)+('7.Config'!$C$11*'3.Parâmetros_Azul'!$D$22*'3.Parâmetros_Azul'!$F$22*'3.Parâmetros_Azul'!$G$22*'3.Parâmetros_Azul'!$H$22*'5.Mira'!$D$8*'6.Cibernético'!$C$25*'6.Cibernético'!$D$24*'9.Simulação'!$E$14)+('7.Config'!$C$12*'3.Parâmetros_Azul'!$D$29*'3.Parâmetros_Azul'!$F$29*'3.Parâmetros_Azul'!$G$29*'3.Parâmetros_Azul'!$H$29*'5.Mira'!$D$9*'6.Cibernético'!$C$23*'6.Cibernético'!$D$24*'9.Simulação'!$F$14)+('7.Config'!$C$12*'3.Parâmetros_Azul'!$D$36*'3.Parâmetros_Azul'!$F$36*'3.Parâmetros_Azul'!$G$36*'3.Parâmetros_Azul'!$H$36*'5.Mira'!$D$10*'6.Cibernético'!$C$23*'6.Cibernético'!$D$24*'9.Simulação'!$G$14)+('7.Config'!$C$13*'3.Parâmetros_Azul'!$D$43*'3.Parâmetros_Azul'!$F$43*'3.Parâmetros_Azul'!$G$43*'3.Parâmetros_Azul'!$H$43*'5.Mira'!$D$11*'6.Cibernético'!$C$23*'6.Cibernético'!$D$24*'9.Simulação'!$H$14)+('7.Config'!$C$13*'3.Parâmetros_Azul'!$D$50*'3.Parâmetros_Azul'!$F$50*'3.Parâmetros_Azul'!$G$50*'3.Parâmetros_Azul'!$H$50*'5.Mira'!$D$12*'6.Cibernético'!$C$23*'6.Cibernético'!$D$24*'9.Simulação'!$I$14)</f>
        <v>1.3355586159453887</v>
      </c>
      <c r="K20" s="69">
        <f>('7.Config'!$C$10*'3.Parâmetros_Azul'!$D$8*'3.Parâmetros_Azul'!$F$8*'3.Parâmetros_Azul'!$G$8*'3.Parâmetros_Azul'!$H$8*'5.Mira'!$D$6*'6.Cibernético'!$C$23*'6.Cibernético'!$D$24*'9.Simulação'!$C$15)+('7.Config'!$C$10*'3.Parâmetros_Azul'!$D$15*'3.Parâmetros_Azul'!$F$15*'3.Parâmetros_Azul'!$G$15*'3.Parâmetros_Azul'!$H$15*'5.Mira'!$D$7*'6.Cibernético'!$C$23*'6.Cibernético'!$D$24*'9.Simulação'!$D$15)+('7.Config'!$C$11*'3.Parâmetros_Azul'!$D$22*'3.Parâmetros_Azul'!$F$22*'3.Parâmetros_Azul'!$G$22*'3.Parâmetros_Azul'!$H$22*'5.Mira'!$D$8*'6.Cibernético'!$C$25*'6.Cibernético'!$D$24*'9.Simulação'!$E$15)+('7.Config'!$C$12*'3.Parâmetros_Azul'!$D$29*'3.Parâmetros_Azul'!$F$29*'3.Parâmetros_Azul'!$G$29*'3.Parâmetros_Azul'!$H$29*'5.Mira'!$D$9*'6.Cibernético'!$C$23*'6.Cibernético'!$D$24*'9.Simulação'!$F$15)+('7.Config'!$C$12*'3.Parâmetros_Azul'!$D$36*'3.Parâmetros_Azul'!$F$36*'3.Parâmetros_Azul'!$G$36*'3.Parâmetros_Azul'!$H$36*'5.Mira'!$D$10*'6.Cibernético'!$C$23*'6.Cibernético'!$D$24*'9.Simulação'!$G$15)+('7.Config'!$C$13*'3.Parâmetros_Azul'!$D$43*'3.Parâmetros_Azul'!$F$43*'3.Parâmetros_Azul'!$G$43*'3.Parâmetros_Azul'!$H$43*'5.Mira'!$D$11*'6.Cibernético'!$C$23*'6.Cibernético'!$D$24*'9.Simulação'!$H$15)+('7.Config'!$C$13*'3.Parâmetros_Azul'!$D$50*'3.Parâmetros_Azul'!$F$50*'3.Parâmetros_Azul'!$G$50*'3.Parâmetros_Azul'!$H$50*'5.Mira'!$D$12*'6.Cibernético'!$C$23*'6.Cibernético'!$D$24*'9.Simulação'!$I$15)</f>
        <v>1.3325152006753995</v>
      </c>
      <c r="L20" s="69">
        <f>('7.Config'!$C$10*'3.Parâmetros_Azul'!$D$8*'3.Parâmetros_Azul'!$F$8*'3.Parâmetros_Azul'!$G$8*'3.Parâmetros_Azul'!$H$8*'5.Mira'!$D$6*'6.Cibernético'!$C$23*'6.Cibernético'!$D$24*'9.Simulação'!$C$16)+('7.Config'!$C$10*'3.Parâmetros_Azul'!$D$15*'3.Parâmetros_Azul'!$F$15*'3.Parâmetros_Azul'!$G$15*'3.Parâmetros_Azul'!$H$15*'5.Mira'!$D$7*'6.Cibernético'!$C$23*'6.Cibernético'!$D$24*'9.Simulação'!$D$16)+('7.Config'!$C$11*'3.Parâmetros_Azul'!$D$22*'3.Parâmetros_Azul'!$F$22*'3.Parâmetros_Azul'!$G$22*'3.Parâmetros_Azul'!$H$22*'5.Mira'!$D$8*'6.Cibernético'!$C$25*'6.Cibernético'!$D$24*'9.Simulação'!$E$16)+('7.Config'!$C$12*'3.Parâmetros_Azul'!$D$29*'3.Parâmetros_Azul'!$F$29*'3.Parâmetros_Azul'!$G$29*'3.Parâmetros_Azul'!$H$29*'5.Mira'!$D$9*'6.Cibernético'!$C$23*'6.Cibernético'!$D$24*'9.Simulação'!$F$16)+('7.Config'!$C$12*'3.Parâmetros_Azul'!$D$36*'3.Parâmetros_Azul'!$F$36*'3.Parâmetros_Azul'!$G$36*'3.Parâmetros_Azul'!$H$36*'5.Mira'!$D$10*'6.Cibernético'!$C$23*'6.Cibernético'!$D$24*'9.Simulação'!$G$16)+('7.Config'!$C$13*'3.Parâmetros_Azul'!$D$43*'3.Parâmetros_Azul'!$F$43*'3.Parâmetros_Azul'!$G$43*'3.Parâmetros_Azul'!$H$43*'5.Mira'!$D$11*'6.Cibernético'!$C$23*'6.Cibernético'!$D$24*'9.Simulação'!$H$16)+('7.Config'!$C$13*'3.Parâmetros_Azul'!$D$50*'3.Parâmetros_Azul'!$F$50*'3.Parâmetros_Azul'!$G$50*'3.Parâmetros_Azul'!$H$50*'5.Mira'!$D$12*'6.Cibernético'!$C$23*'6.Cibernético'!$D$24*'9.Simulação'!$I$16)</f>
        <v>1.3294740511825838</v>
      </c>
    </row>
    <row r="21" spans="1:12" x14ac:dyDescent="0.2">
      <c r="A21" s="68" t="s">
        <v>206</v>
      </c>
      <c r="B21" s="40" t="s">
        <v>86</v>
      </c>
      <c r="C21" s="69">
        <f>('7.Config'!$E$10*'3.Parâmetros_Azul'!$D$9*'3.Parâmetros_Azul'!$F$9*'3.Parâmetros_Azul'!$G$9*'3.Parâmetros_Azul'!$H$9*'5.Mira'!$E$6*'6.Cibernético'!$C$23*'6.Cibernético'!$D$24*'9.Simulação'!$C$7)+('7.Config'!$E$10*'3.Parâmetros_Azul'!$D$16*'3.Parâmetros_Azul'!$F$16*'3.Parâmetros_Azul'!$G$16*'3.Parâmetros_Azul'!$H$16*'5.Mira'!$E$7*'6.Cibernético'!$C$23*'6.Cibernético'!$D$24*'9.Simulação'!$D$7)+('7.Config'!$E$11*'3.Parâmetros_Azul'!$D$23*'3.Parâmetros_Azul'!$F$23*'3.Parâmetros_Azul'!$G$23*'3.Parâmetros_Azul'!$H$23*'5.Mira'!$E$8*'6.Cibernético'!$C$25*'6.Cibernético'!$D$24*'9.Simulação'!$E$7)+('7.Config'!$E$12*'3.Parâmetros_Azul'!$D$30*'3.Parâmetros_Azul'!$F$30*'3.Parâmetros_Azul'!$G$30*'3.Parâmetros_Azul'!$H$30*'5.Mira'!$E$9*'6.Cibernético'!$C$23*'6.Cibernético'!$D$24*'9.Simulação'!$F$7)+('7.Config'!$E$12*'3.Parâmetros_Azul'!$D$37*'3.Parâmetros_Azul'!$F$37*'3.Parâmetros_Azul'!$G$37*'3.Parâmetros_Azul'!$H$37*'5.Mira'!$E$10*'6.Cibernético'!$C$23*'6.Cibernético'!$D$24*'9.Simulação'!$G$7)+('7.Config'!$E$13*'3.Parâmetros_Azul'!$D$44*'3.Parâmetros_Azul'!$F$44*'3.Parâmetros_Azul'!$G$44*'3.Parâmetros_Azul'!$H$44*'5.Mira'!$E$11*'6.Cibernético'!$C$23*'6.Cibernético'!$D$24*'9.Simulação'!$H$7)+('7.Config'!$E$13*'3.Parâmetros_Azul'!$D$51*'3.Parâmetros_Azul'!$F$51*'3.Parâmetros_Azul'!$G$51*'3.Parâmetros_Azul'!$H$51*'5.Mira'!$E$12*'6.Cibernético'!$C$23*'6.Cibernético'!$D$24*'9.Simulação'!$I$7)</f>
        <v>0.34493124999999997</v>
      </c>
      <c r="D21" s="69">
        <f>('7.Config'!$E$10*'3.Parâmetros_Azul'!$D$9*'3.Parâmetros_Azul'!$F$9*'3.Parâmetros_Azul'!$G$9*'3.Parâmetros_Azul'!$H$9*'5.Mira'!$E$6*'6.Cibernético'!$C$23*'6.Cibernético'!$D$24*'9.Simulação'!$C$8)+('7.Config'!$E$10*'3.Parâmetros_Azul'!$D$16*'3.Parâmetros_Azul'!$F$16*'3.Parâmetros_Azul'!$G$16*'3.Parâmetros_Azul'!$H$16*'5.Mira'!$E$7*'6.Cibernético'!$C$23*'6.Cibernético'!$D$24*'9.Simulação'!$D$8)+('7.Config'!$E$11*'3.Parâmetros_Azul'!$D$23*'3.Parâmetros_Azul'!$F$23*'3.Parâmetros_Azul'!$G$23*'3.Parâmetros_Azul'!$H$23*'5.Mira'!$E$8*'6.Cibernético'!$C$25*'6.Cibernético'!$D$24*'9.Simulação'!$E$8)+('7.Config'!$E$12*'3.Parâmetros_Azul'!$D$30*'3.Parâmetros_Azul'!$F$30*'3.Parâmetros_Azul'!$G$30*'3.Parâmetros_Azul'!$H$30*'5.Mira'!$E$9*'6.Cibernético'!$C$23*'6.Cibernético'!$D$24*'9.Simulação'!$F$8)+('7.Config'!$E$12*'3.Parâmetros_Azul'!$D$37*'3.Parâmetros_Azul'!$F$37*'3.Parâmetros_Azul'!$G$37*'3.Parâmetros_Azul'!$H$37*'5.Mira'!$E$10*'6.Cibernético'!$C$23*'6.Cibernético'!$D$24*'9.Simulação'!$G$8)+('7.Config'!$E$13*'3.Parâmetros_Azul'!$D$44*'3.Parâmetros_Azul'!$F$44*'3.Parâmetros_Azul'!$G$44*'3.Parâmetros_Azul'!$H$44*'5.Mira'!$E$11*'6.Cibernético'!$C$23*'6.Cibernético'!$D$24*'9.Simulação'!$H$8)+('7.Config'!$E$13*'3.Parâmetros_Azul'!$D$51*'3.Parâmetros_Azul'!$F$51*'3.Parâmetros_Azul'!$G$51*'3.Parâmetros_Azul'!$H$51*'5.Mira'!$E$12*'6.Cibernético'!$C$23*'6.Cibernético'!$D$24*'9.Simulação'!$I$8)</f>
        <v>0.34381778378592576</v>
      </c>
      <c r="E21" s="69">
        <f>('7.Config'!$E$10*'3.Parâmetros_Azul'!$D$9*'3.Parâmetros_Azul'!$F$9*'3.Parâmetros_Azul'!$G$9*'3.Parâmetros_Azul'!$H$9*'5.Mira'!$E$6*'6.Cibernético'!$C$23*'6.Cibernético'!$D$24*'9.Simulação'!$C$9)+('7.Config'!$E$10*'3.Parâmetros_Azul'!$D$16*'3.Parâmetros_Azul'!$F$16*'3.Parâmetros_Azul'!$G$16*'3.Parâmetros_Azul'!$H$16*'5.Mira'!$E$7*'6.Cibernético'!$C$23*'6.Cibernético'!$D$24*'9.Simulação'!$D$9)+('7.Config'!$E$11*'3.Parâmetros_Azul'!$D$23*'3.Parâmetros_Azul'!$F$23*'3.Parâmetros_Azul'!$G$23*'3.Parâmetros_Azul'!$H$23*'5.Mira'!$E$8*'6.Cibernético'!$C$25*'6.Cibernético'!$D$24*'9.Simulação'!$E$9)+('7.Config'!$E$12*'3.Parâmetros_Azul'!$D$30*'3.Parâmetros_Azul'!$F$30*'3.Parâmetros_Azul'!$G$30*'3.Parâmetros_Azul'!$H$30*'5.Mira'!$E$9*'6.Cibernético'!$C$23*'6.Cibernético'!$D$24*'9.Simulação'!$F$9)+('7.Config'!$E$12*'3.Parâmetros_Azul'!$D$37*'3.Parâmetros_Azul'!$F$37*'3.Parâmetros_Azul'!$G$37*'3.Parâmetros_Azul'!$H$37*'5.Mira'!$E$10*'6.Cibernético'!$C$23*'6.Cibernético'!$D$24*'9.Simulação'!$G$9)+('7.Config'!$E$13*'3.Parâmetros_Azul'!$D$44*'3.Parâmetros_Azul'!$F$44*'3.Parâmetros_Azul'!$G$44*'3.Parâmetros_Azul'!$H$44*'5.Mira'!$E$11*'6.Cibernético'!$C$23*'6.Cibernético'!$D$24*'9.Simulação'!$H$9)+('7.Config'!$E$13*'3.Parâmetros_Azul'!$D$51*'3.Parâmetros_Azul'!$F$51*'3.Parâmetros_Azul'!$G$51*'3.Parâmetros_Azul'!$H$51*'5.Mira'!$E$12*'6.Cibernético'!$C$23*'6.Cibernético'!$D$24*'9.Simulação'!$I$9)</f>
        <v>0.34270424069526062</v>
      </c>
      <c r="F21" s="69">
        <f>('7.Config'!$E$10*'3.Parâmetros_Azul'!$D$9*'3.Parâmetros_Azul'!$F$9*'3.Parâmetros_Azul'!$G$9*'3.Parâmetros_Azul'!$H$9*'5.Mira'!$E$6*'6.Cibernético'!$C$23*'6.Cibernético'!$D$24*'9.Simulação'!$C$10)+('7.Config'!$E$10*'3.Parâmetros_Azul'!$D$16*'3.Parâmetros_Azul'!$F$16*'3.Parâmetros_Azul'!$G$16*'3.Parâmetros_Azul'!$H$16*'5.Mira'!$E$7*'6.Cibernético'!$C$23*'6.Cibernético'!$D$24*'9.Simulação'!$D$10)+('7.Config'!$E$11*'3.Parâmetros_Azul'!$D$23*'3.Parâmetros_Azul'!$F$23*'3.Parâmetros_Azul'!$G$23*'3.Parâmetros_Azul'!$H$23*'5.Mira'!$E$8*'6.Cibernético'!$C$25*'6.Cibernético'!$D$24*'9.Simulação'!$E$10)+('7.Config'!$E$12*'3.Parâmetros_Azul'!$D$30*'3.Parâmetros_Azul'!$F$30*'3.Parâmetros_Azul'!$G$30*'3.Parâmetros_Azul'!$H$30*'5.Mira'!$E$9*'6.Cibernético'!$C$23*'6.Cibernético'!$D$24*'9.Simulação'!$F$10)+('7.Config'!$E$12*'3.Parâmetros_Azul'!$D$37*'3.Parâmetros_Azul'!$F$37*'3.Parâmetros_Azul'!$G$37*'3.Parâmetros_Azul'!$H$37*'5.Mira'!$E$10*'6.Cibernético'!$C$23*'6.Cibernético'!$D$24*'9.Simulação'!$G$10)+('7.Config'!$E$13*'3.Parâmetros_Azul'!$D$44*'3.Parâmetros_Azul'!$F$44*'3.Parâmetros_Azul'!$G$44*'3.Parâmetros_Azul'!$H$44*'5.Mira'!$E$11*'6.Cibernético'!$C$23*'6.Cibernético'!$D$24*'9.Simulação'!$H$10)+('7.Config'!$E$13*'3.Parâmetros_Azul'!$D$51*'3.Parâmetros_Azul'!$F$51*'3.Parâmetros_Azul'!$G$51*'3.Parâmetros_Azul'!$H$51*'5.Mira'!$E$12*'6.Cibernético'!$C$23*'6.Cibernético'!$D$24*'9.Simulação'!$I$10)</f>
        <v>0.34159067380851632</v>
      </c>
      <c r="G21" s="69">
        <f>('7.Config'!$E$10*'3.Parâmetros_Azul'!$D$9*'3.Parâmetros_Azul'!$F$9*'3.Parâmetros_Azul'!$G$9*'3.Parâmetros_Azul'!$H$9*'5.Mira'!$E$6*'6.Cibernético'!$C$23*'6.Cibernético'!$D$24*'9.Simulação'!$C$11)+('7.Config'!$E$10*'3.Parâmetros_Azul'!$D$16*'3.Parâmetros_Azul'!$F$16*'3.Parâmetros_Azul'!$G$16*'3.Parâmetros_Azul'!$H$16*'5.Mira'!$E$7*'6.Cibernético'!$C$23*'6.Cibernético'!$D$24*'9.Simulação'!$D$11)+('7.Config'!$E$11*'3.Parâmetros_Azul'!$D$23*'3.Parâmetros_Azul'!$F$23*'3.Parâmetros_Azul'!$G$23*'3.Parâmetros_Azul'!$H$23*'5.Mira'!$E$8*'6.Cibernético'!$C$25*'6.Cibernético'!$D$24*'9.Simulação'!$E$11)+('7.Config'!$E$12*'3.Parâmetros_Azul'!$D$30*'3.Parâmetros_Azul'!$F$30*'3.Parâmetros_Azul'!$G$30*'3.Parâmetros_Azul'!$H$30*'5.Mira'!$E$9*'6.Cibernético'!$C$23*'6.Cibernético'!$D$24*'9.Simulação'!$F$11)+('7.Config'!$E$12*'3.Parâmetros_Azul'!$D$37*'3.Parâmetros_Azul'!$F$37*'3.Parâmetros_Azul'!$G$37*'3.Parâmetros_Azul'!$H$37*'5.Mira'!$E$10*'6.Cibernético'!$C$23*'6.Cibernético'!$D$24*'9.Simulação'!$G$11)+('7.Config'!$E$13*'3.Parâmetros_Azul'!$D$44*'3.Parâmetros_Azul'!$F$44*'3.Parâmetros_Azul'!$G$44*'3.Parâmetros_Azul'!$H$44*'5.Mira'!$E$11*'6.Cibernético'!$C$23*'6.Cibernético'!$D$24*'9.Simulação'!$H$11)+('7.Config'!$E$13*'3.Parâmetros_Azul'!$D$51*'3.Parâmetros_Azul'!$F$51*'3.Parâmetros_Azul'!$G$51*'3.Parâmetros_Azul'!$H$51*'5.Mira'!$E$12*'6.Cibernético'!$C$23*'6.Cibernético'!$D$24*'9.Simulação'!$I$11)</f>
        <v>0.34047707027392149</v>
      </c>
      <c r="H21" s="69">
        <f>('7.Config'!$E$10*'3.Parâmetros_Azul'!$D$9*'3.Parâmetros_Azul'!$F$9*'3.Parâmetros_Azul'!$G$9*'3.Parâmetros_Azul'!$H$9*'5.Mira'!$E$6*'6.Cibernético'!$C$23*'6.Cibernético'!$D$24*'9.Simulação'!$C$12)+('7.Config'!$E$10*'3.Parâmetros_Azul'!$D$16*'3.Parâmetros_Azul'!$F$16*'3.Parâmetros_Azul'!$G$16*'3.Parâmetros_Azul'!$H$16*'5.Mira'!$E$7*'6.Cibernético'!$C$23*'6.Cibernético'!$D$24*'9.Simulação'!$D$12)+('7.Config'!$E$11*'3.Parâmetros_Azul'!$D$23*'3.Parâmetros_Azul'!$F$23*'3.Parâmetros_Azul'!$G$23*'3.Parâmetros_Azul'!$H$23*'5.Mira'!$E$8*'6.Cibernético'!$C$25*'6.Cibernético'!$D$24*'9.Simulação'!$E$12)+('7.Config'!$E$12*'3.Parâmetros_Azul'!$D$30*'3.Parâmetros_Azul'!$F$30*'3.Parâmetros_Azul'!$G$30*'3.Parâmetros_Azul'!$H$30*'5.Mira'!$E$9*'6.Cibernético'!$C$23*'6.Cibernético'!$D$24*'9.Simulação'!$F$12)+('7.Config'!$E$12*'3.Parâmetros_Azul'!$D$37*'3.Parâmetros_Azul'!$F$37*'3.Parâmetros_Azul'!$G$37*'3.Parâmetros_Azul'!$H$37*'5.Mira'!$E$10*'6.Cibernético'!$C$23*'6.Cibernético'!$D$24*'9.Simulação'!$G$12)+('7.Config'!$E$13*'3.Parâmetros_Azul'!$D$44*'3.Parâmetros_Azul'!$F$44*'3.Parâmetros_Azul'!$G$44*'3.Parâmetros_Azul'!$H$44*'5.Mira'!$E$11*'6.Cibernético'!$C$23*'6.Cibernético'!$D$24*'9.Simulação'!$H$12)+('7.Config'!$E$13*'3.Parâmetros_Azul'!$D$51*'3.Parâmetros_Azul'!$F$51*'3.Parâmetros_Azul'!$G$51*'3.Parâmetros_Azul'!$H$51*'5.Mira'!$E$12*'6.Cibernético'!$C$23*'6.Cibernético'!$D$24*'9.Simulação'!$I$12)</f>
        <v>0.33936292375181154</v>
      </c>
      <c r="I21" s="69">
        <f>('7.Config'!$E$10*'3.Parâmetros_Azul'!$D$9*'3.Parâmetros_Azul'!$F$9*'3.Parâmetros_Azul'!$G$9*'3.Parâmetros_Azul'!$H$9*'5.Mira'!$E$6*'6.Cibernético'!$C$23*'6.Cibernético'!$D$24*'9.Simulação'!$C$13)+('7.Config'!$E$10*'3.Parâmetros_Azul'!$D$16*'3.Parâmetros_Azul'!$F$16*'3.Parâmetros_Azul'!$G$16*'3.Parâmetros_Azul'!$H$16*'5.Mira'!$E$7*'6.Cibernético'!$C$23*'6.Cibernético'!$D$24*'9.Simulação'!$D$13)+('7.Config'!$E$11*'3.Parâmetros_Azul'!$D$23*'3.Parâmetros_Azul'!$F$23*'3.Parâmetros_Azul'!$G$23*'3.Parâmetros_Azul'!$H$23*'5.Mira'!$E$8*'6.Cibernético'!$C$25*'6.Cibernético'!$D$24*'9.Simulação'!$E$13)+('7.Config'!$E$12*'3.Parâmetros_Azul'!$D$30*'3.Parâmetros_Azul'!$F$30*'3.Parâmetros_Azul'!$G$30*'3.Parâmetros_Azul'!$H$30*'5.Mira'!$E$9*'6.Cibernético'!$C$23*'6.Cibernético'!$D$24*'9.Simulação'!$F$13)+('7.Config'!$E$12*'3.Parâmetros_Azul'!$D$37*'3.Parâmetros_Azul'!$F$37*'3.Parâmetros_Azul'!$G$37*'3.Parâmetros_Azul'!$H$37*'5.Mira'!$E$10*'6.Cibernético'!$C$23*'6.Cibernético'!$D$24*'9.Simulação'!$G$13)+('7.Config'!$E$13*'3.Parâmetros_Azul'!$D$44*'3.Parâmetros_Azul'!$F$44*'3.Parâmetros_Azul'!$G$44*'3.Parâmetros_Azul'!$H$44*'5.Mira'!$E$11*'6.Cibernético'!$C$23*'6.Cibernético'!$D$24*'9.Simulação'!$H$13)+('7.Config'!$E$13*'3.Parâmetros_Azul'!$D$51*'3.Parâmetros_Azul'!$F$51*'3.Parâmetros_Azul'!$G$51*'3.Parâmetros_Azul'!$H$51*'5.Mira'!$E$12*'6.Cibernético'!$C$23*'6.Cibernético'!$D$24*'9.Simulação'!$I$13)</f>
        <v>0.33824828510941796</v>
      </c>
      <c r="J21" s="69">
        <f>('7.Config'!$E$10*'3.Parâmetros_Azul'!$D$9*'3.Parâmetros_Azul'!$F$9*'3.Parâmetros_Azul'!$G$9*'3.Parâmetros_Azul'!$H$9*'5.Mira'!$E$6*'6.Cibernético'!$C$23*'6.Cibernético'!$D$24*'9.Simulação'!$C$14)+('7.Config'!$E$10*'3.Parâmetros_Azul'!$D$16*'3.Parâmetros_Azul'!$F$16*'3.Parâmetros_Azul'!$G$16*'3.Parâmetros_Azul'!$H$16*'5.Mira'!$E$7*'6.Cibernético'!$C$23*'6.Cibernético'!$D$24*'9.Simulação'!$D$14)+('7.Config'!$E$11*'3.Parâmetros_Azul'!$D$23*'3.Parâmetros_Azul'!$F$23*'3.Parâmetros_Azul'!$G$23*'3.Parâmetros_Azul'!$H$23*'5.Mira'!$E$8*'6.Cibernético'!$C$25*'6.Cibernético'!$D$24*'9.Simulação'!$E$14)+('7.Config'!$E$12*'3.Parâmetros_Azul'!$D$30*'3.Parâmetros_Azul'!$F$30*'3.Parâmetros_Azul'!$G$30*'3.Parâmetros_Azul'!$H$30*'5.Mira'!$E$9*'6.Cibernético'!$C$23*'6.Cibernético'!$D$24*'9.Simulação'!$F$14)+('7.Config'!$E$12*'3.Parâmetros_Azul'!$D$37*'3.Parâmetros_Azul'!$F$37*'3.Parâmetros_Azul'!$G$37*'3.Parâmetros_Azul'!$H$37*'5.Mira'!$E$10*'6.Cibernético'!$C$23*'6.Cibernético'!$D$24*'9.Simulação'!$G$14)+('7.Config'!$E$13*'3.Parâmetros_Azul'!$D$44*'3.Parâmetros_Azul'!$F$44*'3.Parâmetros_Azul'!$G$44*'3.Parâmetros_Azul'!$H$44*'5.Mira'!$E$11*'6.Cibernético'!$C$23*'6.Cibernético'!$D$24*'9.Simulação'!$H$14)+('7.Config'!$E$13*'3.Parâmetros_Azul'!$D$51*'3.Parâmetros_Azul'!$F$51*'3.Parâmetros_Azul'!$G$51*'3.Parâmetros_Azul'!$H$51*'5.Mira'!$E$12*'6.Cibernético'!$C$23*'6.Cibernético'!$D$24*'9.Simulação'!$I$14)</f>
        <v>0.33713320629346522</v>
      </c>
      <c r="K21" s="69">
        <f>('7.Config'!$E$10*'3.Parâmetros_Azul'!$D$9*'3.Parâmetros_Azul'!$F$9*'3.Parâmetros_Azul'!$G$9*'3.Parâmetros_Azul'!$H$9*'5.Mira'!$E$6*'6.Cibernético'!$C$23*'6.Cibernético'!$D$24*'9.Simulação'!$C$15)+('7.Config'!$E$10*'3.Parâmetros_Azul'!$D$16*'3.Parâmetros_Azul'!$F$16*'3.Parâmetros_Azul'!$G$16*'3.Parâmetros_Azul'!$H$16*'5.Mira'!$E$7*'6.Cibernético'!$C$23*'6.Cibernético'!$D$24*'9.Simulação'!$D$15)+('7.Config'!$E$11*'3.Parâmetros_Azul'!$D$23*'3.Parâmetros_Azul'!$F$23*'3.Parâmetros_Azul'!$G$23*'3.Parâmetros_Azul'!$H$23*'5.Mira'!$E$8*'6.Cibernético'!$C$25*'6.Cibernético'!$D$24*'9.Simulação'!$E$15)+('7.Config'!$E$12*'3.Parâmetros_Azul'!$D$30*'3.Parâmetros_Azul'!$F$30*'3.Parâmetros_Azul'!$G$30*'3.Parâmetros_Azul'!$H$30*'5.Mira'!$E$9*'6.Cibernético'!$C$23*'6.Cibernético'!$D$24*'9.Simulação'!$F$15)+('7.Config'!$E$12*'3.Parâmetros_Azul'!$D$37*'3.Parâmetros_Azul'!$F$37*'3.Parâmetros_Azul'!$G$37*'3.Parâmetros_Azul'!$H$37*'5.Mira'!$E$10*'6.Cibernético'!$C$23*'6.Cibernético'!$D$24*'9.Simulação'!$G$15)+('7.Config'!$E$13*'3.Parâmetros_Azul'!$D$44*'3.Parâmetros_Azul'!$F$44*'3.Parâmetros_Azul'!$G$44*'3.Parâmetros_Azul'!$H$44*'5.Mira'!$E$11*'6.Cibernético'!$C$23*'6.Cibernético'!$D$24*'9.Simulação'!$H$15)+('7.Config'!$E$13*'3.Parâmetros_Azul'!$D$51*'3.Parâmetros_Azul'!$F$51*'3.Parâmetros_Azul'!$G$51*'3.Parâmetros_Azul'!$H$51*'5.Mira'!$E$12*'6.Cibernético'!$C$23*'6.Cibernético'!$D$24*'9.Simulação'!$I$15)</f>
        <v>0.33601774034842236</v>
      </c>
      <c r="L21" s="69">
        <f>('7.Config'!$E$10*'3.Parâmetros_Azul'!$D$9*'3.Parâmetros_Azul'!$F$9*'3.Parâmetros_Azul'!$G$9*'3.Parâmetros_Azul'!$H$9*'5.Mira'!$E$6*'6.Cibernético'!$C$23*'6.Cibernético'!$D$24*'9.Simulação'!$C$16)+('7.Config'!$E$10*'3.Parâmetros_Azul'!$D$16*'3.Parâmetros_Azul'!$F$16*'3.Parâmetros_Azul'!$G$16*'3.Parâmetros_Azul'!$H$16*'5.Mira'!$E$7*'6.Cibernético'!$C$23*'6.Cibernético'!$D$24*'9.Simulação'!$D$16)+('7.Config'!$E$11*'3.Parâmetros_Azul'!$D$23*'3.Parâmetros_Azul'!$F$23*'3.Parâmetros_Azul'!$G$23*'3.Parâmetros_Azul'!$H$23*'5.Mira'!$E$8*'6.Cibernético'!$C$25*'6.Cibernético'!$D$24*'9.Simulação'!$E$16)+('7.Config'!$E$12*'3.Parâmetros_Azul'!$D$30*'3.Parâmetros_Azul'!$F$30*'3.Parâmetros_Azul'!$G$30*'3.Parâmetros_Azul'!$H$30*'5.Mira'!$E$9*'6.Cibernético'!$C$23*'6.Cibernético'!$D$24*'9.Simulação'!$F$16)+('7.Config'!$E$12*'3.Parâmetros_Azul'!$D$37*'3.Parâmetros_Azul'!$F$37*'3.Parâmetros_Azul'!$G$37*'3.Parâmetros_Azul'!$H$37*'5.Mira'!$E$10*'6.Cibernético'!$C$23*'6.Cibernético'!$D$24*'9.Simulação'!$G$16)+('7.Config'!$E$13*'3.Parâmetros_Azul'!$D$44*'3.Parâmetros_Azul'!$F$44*'3.Parâmetros_Azul'!$G$44*'3.Parâmetros_Azul'!$H$44*'5.Mira'!$E$11*'6.Cibernético'!$C$23*'6.Cibernético'!$D$24*'9.Simulação'!$H$16)+('7.Config'!$E$13*'3.Parâmetros_Azul'!$D$51*'3.Parâmetros_Azul'!$F$51*'3.Parâmetros_Azul'!$G$51*'3.Parâmetros_Azul'!$H$51*'5.Mira'!$E$12*'6.Cibernético'!$C$23*'6.Cibernético'!$D$24*'9.Simulação'!$I$16)</f>
        <v>0.3349019414350442</v>
      </c>
    </row>
    <row r="22" spans="1:12" x14ac:dyDescent="0.2">
      <c r="A22" s="68" t="s">
        <v>206</v>
      </c>
      <c r="B22" s="40" t="s">
        <v>89</v>
      </c>
      <c r="C22" s="69">
        <f>('7.Config'!$E$10*'3.Parâmetros_Azul'!$D$10*'3.Parâmetros_Azul'!$F$10*'3.Parâmetros_Azul'!$G$10*'3.Parâmetros_Azul'!$H$10*'5.Mira'!$F$6*'6.Cibernético'!$C$23*'6.Cibernético'!$D$24*'9.Simulação'!$C$7)+('7.Config'!$E$10*'3.Parâmetros_Azul'!$D$17*'3.Parâmetros_Azul'!$F$17*'3.Parâmetros_Azul'!$G$17*'3.Parâmetros_Azul'!$H$17*'5.Mira'!$F$7*'6.Cibernético'!$C$23*'6.Cibernético'!$D$24*'9.Simulação'!$D$7)+('7.Config'!$E$11*'3.Parâmetros_Azul'!$D$24*'3.Parâmetros_Azul'!$F$24*'3.Parâmetros_Azul'!$G$24*'3.Parâmetros_Azul'!$H$24*'5.Mira'!$F$8*'6.Cibernético'!$C$25*'6.Cibernético'!$D$24*'9.Simulação'!$E$7)+('7.Config'!$E$12*'3.Parâmetros_Azul'!$D$31*'3.Parâmetros_Azul'!$F$31*'3.Parâmetros_Azul'!$G$31*'3.Parâmetros_Azul'!$H$31*'5.Mira'!$F$9*'6.Cibernético'!$C$23*'6.Cibernético'!$D$24*'9.Simulação'!$F$7)+('7.Config'!$E$12*'3.Parâmetros_Azul'!$D$38*'3.Parâmetros_Azul'!$F$38*'3.Parâmetros_Azul'!$G$38*'3.Parâmetros_Azul'!$H$38*'5.Mira'!$F$10*'6.Cibernético'!$C$23*'6.Cibernético'!$D$24*'9.Simulação'!$G$7)+('7.Config'!$E$13*'3.Parâmetros_Azul'!$D$45*'3.Parâmetros_Azul'!$F$45*'3.Parâmetros_Azul'!$G$45*'3.Parâmetros_Azul'!$H$45*'5.Mira'!$F$11*'6.Cibernético'!$C$23*'6.Cibernético'!$D$24*'9.Simulação'!$H$7)+('7.Config'!$E$13*'3.Parâmetros_Azul'!$D$52*'3.Parâmetros_Azul'!$F$52*'3.Parâmetros_Azul'!$G$52*'3.Parâmetros_Azul'!$H$52*'5.Mira'!$F$12*'6.Cibernético'!$C$23*'6.Cibernético'!$D$24*'9.Simulação'!$I$7)</f>
        <v>0.34493124999999997</v>
      </c>
      <c r="D22" s="69">
        <f>('7.Config'!$E$10*'3.Parâmetros_Azul'!$D$10*'3.Parâmetros_Azul'!$F$10*'3.Parâmetros_Azul'!$G$10*'3.Parâmetros_Azul'!$H$10*'5.Mira'!$F$6*'6.Cibernético'!$C$23*'6.Cibernético'!$D$24*'9.Simulação'!$C$8)+('7.Config'!$E$10*'3.Parâmetros_Azul'!$D$17*'3.Parâmetros_Azul'!$F$17*'3.Parâmetros_Azul'!$G$17*'3.Parâmetros_Azul'!$H$17*'5.Mira'!$F$7*'6.Cibernético'!$C$23*'6.Cibernético'!$D$24*'9.Simulação'!$D$8)+('7.Config'!$E$11*'3.Parâmetros_Azul'!$D$24*'3.Parâmetros_Azul'!$F$24*'3.Parâmetros_Azul'!$G$24*'3.Parâmetros_Azul'!$H$24*'5.Mira'!$F$8*'6.Cibernético'!$C$25*'6.Cibernético'!$D$24*'9.Simulação'!$E$8)+('7.Config'!$E$12*'3.Parâmetros_Azul'!$D$31*'3.Parâmetros_Azul'!$F$31*'3.Parâmetros_Azul'!$G$31*'3.Parâmetros_Azul'!$H$31*'5.Mira'!$F$9*'6.Cibernético'!$C$23*'6.Cibernético'!$D$24*'9.Simulação'!$F$8)+('7.Config'!$E$12*'3.Parâmetros_Azul'!$D$38*'3.Parâmetros_Azul'!$F$38*'3.Parâmetros_Azul'!$G$38*'3.Parâmetros_Azul'!$H$38*'5.Mira'!$F$10*'6.Cibernético'!$C$23*'6.Cibernético'!$D$24*'9.Simulação'!$G$8)+('7.Config'!$E$13*'3.Parâmetros_Azul'!$D$45*'3.Parâmetros_Azul'!$F$45*'3.Parâmetros_Azul'!$G$45*'3.Parâmetros_Azul'!$H$45*'5.Mira'!$F$11*'6.Cibernético'!$C$23*'6.Cibernético'!$D$24*'9.Simulação'!$H$8)+('7.Config'!$E$13*'3.Parâmetros_Azul'!$D$52*'3.Parâmetros_Azul'!$F$52*'3.Parâmetros_Azul'!$G$52*'3.Parâmetros_Azul'!$H$52*'5.Mira'!$F$12*'6.Cibernético'!$C$23*'6.Cibernético'!$D$24*'9.Simulação'!$I$8)</f>
        <v>0.34381778378592576</v>
      </c>
      <c r="E22" s="69">
        <f>('7.Config'!$E$10*'3.Parâmetros_Azul'!$D$10*'3.Parâmetros_Azul'!$F$10*'3.Parâmetros_Azul'!$G$10*'3.Parâmetros_Azul'!$H$10*'5.Mira'!$F$6*'6.Cibernético'!$C$23*'6.Cibernético'!$D$24*'9.Simulação'!$C$9)+('7.Config'!$E$10*'3.Parâmetros_Azul'!$D$17*'3.Parâmetros_Azul'!$F$17*'3.Parâmetros_Azul'!$G$17*'3.Parâmetros_Azul'!$H$17*'5.Mira'!$F$7*'6.Cibernético'!$C$23*'6.Cibernético'!$D$24*'9.Simulação'!$D$9)+('7.Config'!$E$11*'3.Parâmetros_Azul'!$D$24*'3.Parâmetros_Azul'!$F$24*'3.Parâmetros_Azul'!$G$24*'3.Parâmetros_Azul'!$H$24*'5.Mira'!$F$8*'6.Cibernético'!$C$25*'6.Cibernético'!$D$24*'9.Simulação'!$E$9)+('7.Config'!$E$12*'3.Parâmetros_Azul'!$D$31*'3.Parâmetros_Azul'!$F$31*'3.Parâmetros_Azul'!$G$31*'3.Parâmetros_Azul'!$H$31*'5.Mira'!$F$9*'6.Cibernético'!$C$23*'6.Cibernético'!$D$24*'9.Simulação'!$F$9)+('7.Config'!$E$12*'3.Parâmetros_Azul'!$D$38*'3.Parâmetros_Azul'!$F$38*'3.Parâmetros_Azul'!$G$38*'3.Parâmetros_Azul'!$H$38*'5.Mira'!$F$10*'6.Cibernético'!$C$23*'6.Cibernético'!$D$24*'9.Simulação'!$G$9)+('7.Config'!$E$13*'3.Parâmetros_Azul'!$D$45*'3.Parâmetros_Azul'!$F$45*'3.Parâmetros_Azul'!$G$45*'3.Parâmetros_Azul'!$H$45*'5.Mira'!$F$11*'6.Cibernético'!$C$23*'6.Cibernético'!$D$24*'9.Simulação'!$H$9)+('7.Config'!$E$13*'3.Parâmetros_Azul'!$D$52*'3.Parâmetros_Azul'!$F$52*'3.Parâmetros_Azul'!$G$52*'3.Parâmetros_Azul'!$H$52*'5.Mira'!$F$12*'6.Cibernético'!$C$23*'6.Cibernético'!$D$24*'9.Simulação'!$I$9)</f>
        <v>0.34270424069526062</v>
      </c>
      <c r="F22" s="69">
        <f>('7.Config'!$E$10*'3.Parâmetros_Azul'!$D$10*'3.Parâmetros_Azul'!$F$10*'3.Parâmetros_Azul'!$G$10*'3.Parâmetros_Azul'!$H$10*'5.Mira'!$F$6*'6.Cibernético'!$C$23*'6.Cibernético'!$D$24*'9.Simulação'!$C$10)+('7.Config'!$E$10*'3.Parâmetros_Azul'!$D$17*'3.Parâmetros_Azul'!$F$17*'3.Parâmetros_Azul'!$G$17*'3.Parâmetros_Azul'!$H$17*'5.Mira'!$F$7*'6.Cibernético'!$C$23*'6.Cibernético'!$D$24*'9.Simulação'!$D$10)+('7.Config'!$E$11*'3.Parâmetros_Azul'!$D$24*'3.Parâmetros_Azul'!$F$24*'3.Parâmetros_Azul'!$G$24*'3.Parâmetros_Azul'!$H$24*'5.Mira'!$F$8*'6.Cibernético'!$C$25*'6.Cibernético'!$D$24*'9.Simulação'!$E$10)+('7.Config'!$E$12*'3.Parâmetros_Azul'!$D$31*'3.Parâmetros_Azul'!$F$31*'3.Parâmetros_Azul'!$G$31*'3.Parâmetros_Azul'!$H$31*'5.Mira'!$F$9*'6.Cibernético'!$C$23*'6.Cibernético'!$D$24*'9.Simulação'!$F$10)+('7.Config'!$E$12*'3.Parâmetros_Azul'!$D$38*'3.Parâmetros_Azul'!$F$38*'3.Parâmetros_Azul'!$G$38*'3.Parâmetros_Azul'!$H$38*'5.Mira'!$F$10*'6.Cibernético'!$C$23*'6.Cibernético'!$D$24*'9.Simulação'!$G$10)+('7.Config'!$E$13*'3.Parâmetros_Azul'!$D$45*'3.Parâmetros_Azul'!$F$45*'3.Parâmetros_Azul'!$G$45*'3.Parâmetros_Azul'!$H$45*'5.Mira'!$F$11*'6.Cibernético'!$C$23*'6.Cibernético'!$D$24*'9.Simulação'!$H$10)+('7.Config'!$E$13*'3.Parâmetros_Azul'!$D$52*'3.Parâmetros_Azul'!$F$52*'3.Parâmetros_Azul'!$G$52*'3.Parâmetros_Azul'!$H$52*'5.Mira'!$F$12*'6.Cibernético'!$C$23*'6.Cibernético'!$D$24*'9.Simulação'!$I$10)</f>
        <v>0.34159067380851632</v>
      </c>
      <c r="G22" s="69">
        <f>('7.Config'!$E$10*'3.Parâmetros_Azul'!$D$10*'3.Parâmetros_Azul'!$F$10*'3.Parâmetros_Azul'!$G$10*'3.Parâmetros_Azul'!$H$10*'5.Mira'!$F$6*'6.Cibernético'!$C$23*'6.Cibernético'!$D$24*'9.Simulação'!$C$11)+('7.Config'!$E$10*'3.Parâmetros_Azul'!$D$17*'3.Parâmetros_Azul'!$F$17*'3.Parâmetros_Azul'!$G$17*'3.Parâmetros_Azul'!$H$17*'5.Mira'!$F$7*'6.Cibernético'!$C$23*'6.Cibernético'!$D$24*'9.Simulação'!$D$11)+('7.Config'!$E$11*'3.Parâmetros_Azul'!$D$24*'3.Parâmetros_Azul'!$F$24*'3.Parâmetros_Azul'!$G$24*'3.Parâmetros_Azul'!$H$24*'5.Mira'!$F$8*'6.Cibernético'!$C$25*'6.Cibernético'!$D$24*'9.Simulação'!$E$11)+('7.Config'!$E$12*'3.Parâmetros_Azul'!$D$31*'3.Parâmetros_Azul'!$F$31*'3.Parâmetros_Azul'!$G$31*'3.Parâmetros_Azul'!$H$31*'5.Mira'!$F$9*'6.Cibernético'!$C$23*'6.Cibernético'!$D$24*'9.Simulação'!$F$11)+('7.Config'!$E$12*'3.Parâmetros_Azul'!$D$38*'3.Parâmetros_Azul'!$F$38*'3.Parâmetros_Azul'!$G$38*'3.Parâmetros_Azul'!$H$38*'5.Mira'!$F$10*'6.Cibernético'!$C$23*'6.Cibernético'!$D$24*'9.Simulação'!$G$11)+('7.Config'!$E$13*'3.Parâmetros_Azul'!$D$45*'3.Parâmetros_Azul'!$F$45*'3.Parâmetros_Azul'!$G$45*'3.Parâmetros_Azul'!$H$45*'5.Mira'!$F$11*'6.Cibernético'!$C$23*'6.Cibernético'!$D$24*'9.Simulação'!$H$11)+('7.Config'!$E$13*'3.Parâmetros_Azul'!$D$52*'3.Parâmetros_Azul'!$F$52*'3.Parâmetros_Azul'!$G$52*'3.Parâmetros_Azul'!$H$52*'5.Mira'!$F$12*'6.Cibernético'!$C$23*'6.Cibernético'!$D$24*'9.Simulação'!$I$11)</f>
        <v>0.34047707027392149</v>
      </c>
      <c r="H22" s="69">
        <f>('7.Config'!$E$10*'3.Parâmetros_Azul'!$D$10*'3.Parâmetros_Azul'!$F$10*'3.Parâmetros_Azul'!$G$10*'3.Parâmetros_Azul'!$H$10*'5.Mira'!$F$6*'6.Cibernético'!$C$23*'6.Cibernético'!$D$24*'9.Simulação'!$C$12)+('7.Config'!$E$10*'3.Parâmetros_Azul'!$D$17*'3.Parâmetros_Azul'!$F$17*'3.Parâmetros_Azul'!$G$17*'3.Parâmetros_Azul'!$H$17*'5.Mira'!$F$7*'6.Cibernético'!$C$23*'6.Cibernético'!$D$24*'9.Simulação'!$D$12)+('7.Config'!$E$11*'3.Parâmetros_Azul'!$D$24*'3.Parâmetros_Azul'!$F$24*'3.Parâmetros_Azul'!$G$24*'3.Parâmetros_Azul'!$H$24*'5.Mira'!$F$8*'6.Cibernético'!$C$25*'6.Cibernético'!$D$24*'9.Simulação'!$E$12)+('7.Config'!$E$12*'3.Parâmetros_Azul'!$D$31*'3.Parâmetros_Azul'!$F$31*'3.Parâmetros_Azul'!$G$31*'3.Parâmetros_Azul'!$H$31*'5.Mira'!$F$9*'6.Cibernético'!$C$23*'6.Cibernético'!$D$24*'9.Simulação'!$F$12)+('7.Config'!$E$12*'3.Parâmetros_Azul'!$D$38*'3.Parâmetros_Azul'!$F$38*'3.Parâmetros_Azul'!$G$38*'3.Parâmetros_Azul'!$H$38*'5.Mira'!$F$10*'6.Cibernético'!$C$23*'6.Cibernético'!$D$24*'9.Simulação'!$G$12)+('7.Config'!$E$13*'3.Parâmetros_Azul'!$D$45*'3.Parâmetros_Azul'!$F$45*'3.Parâmetros_Azul'!$G$45*'3.Parâmetros_Azul'!$H$45*'5.Mira'!$F$11*'6.Cibernético'!$C$23*'6.Cibernético'!$D$24*'9.Simulação'!$H$12)+('7.Config'!$E$13*'3.Parâmetros_Azul'!$D$52*'3.Parâmetros_Azul'!$F$52*'3.Parâmetros_Azul'!$G$52*'3.Parâmetros_Azul'!$H$52*'5.Mira'!$F$12*'6.Cibernético'!$C$23*'6.Cibernético'!$D$24*'9.Simulação'!$I$12)</f>
        <v>0.33936292375181154</v>
      </c>
      <c r="I22" s="69">
        <f>('7.Config'!$E$10*'3.Parâmetros_Azul'!$D$10*'3.Parâmetros_Azul'!$F$10*'3.Parâmetros_Azul'!$G$10*'3.Parâmetros_Azul'!$H$10*'5.Mira'!$F$6*'6.Cibernético'!$C$23*'6.Cibernético'!$D$24*'9.Simulação'!$C$13)+('7.Config'!$E$10*'3.Parâmetros_Azul'!$D$17*'3.Parâmetros_Azul'!$F$17*'3.Parâmetros_Azul'!$G$17*'3.Parâmetros_Azul'!$H$17*'5.Mira'!$F$7*'6.Cibernético'!$C$23*'6.Cibernético'!$D$24*'9.Simulação'!$D$13)+('7.Config'!$E$11*'3.Parâmetros_Azul'!$D$24*'3.Parâmetros_Azul'!$F$24*'3.Parâmetros_Azul'!$G$24*'3.Parâmetros_Azul'!$H$24*'5.Mira'!$F$8*'6.Cibernético'!$C$25*'6.Cibernético'!$D$24*'9.Simulação'!$E$13)+('7.Config'!$E$12*'3.Parâmetros_Azul'!$D$31*'3.Parâmetros_Azul'!$F$31*'3.Parâmetros_Azul'!$G$31*'3.Parâmetros_Azul'!$H$31*'5.Mira'!$F$9*'6.Cibernético'!$C$23*'6.Cibernético'!$D$24*'9.Simulação'!$F$13)+('7.Config'!$E$12*'3.Parâmetros_Azul'!$D$38*'3.Parâmetros_Azul'!$F$38*'3.Parâmetros_Azul'!$G$38*'3.Parâmetros_Azul'!$H$38*'5.Mira'!$F$10*'6.Cibernético'!$C$23*'6.Cibernético'!$D$24*'9.Simulação'!$G$13)+('7.Config'!$E$13*'3.Parâmetros_Azul'!$D$45*'3.Parâmetros_Azul'!$F$45*'3.Parâmetros_Azul'!$G$45*'3.Parâmetros_Azul'!$H$45*'5.Mira'!$F$11*'6.Cibernético'!$C$23*'6.Cibernético'!$D$24*'9.Simulação'!$H$13)+('7.Config'!$E$13*'3.Parâmetros_Azul'!$D$52*'3.Parâmetros_Azul'!$F$52*'3.Parâmetros_Azul'!$G$52*'3.Parâmetros_Azul'!$H$52*'5.Mira'!$F$12*'6.Cibernético'!$C$23*'6.Cibernético'!$D$24*'9.Simulação'!$I$13)</f>
        <v>0.33824828510941796</v>
      </c>
      <c r="J22" s="69">
        <f>('7.Config'!$E$10*'3.Parâmetros_Azul'!$D$10*'3.Parâmetros_Azul'!$F$10*'3.Parâmetros_Azul'!$G$10*'3.Parâmetros_Azul'!$H$10*'5.Mira'!$F$6*'6.Cibernético'!$C$23*'6.Cibernético'!$D$24*'9.Simulação'!$C$14)+('7.Config'!$E$10*'3.Parâmetros_Azul'!$D$17*'3.Parâmetros_Azul'!$F$17*'3.Parâmetros_Azul'!$G$17*'3.Parâmetros_Azul'!$H$17*'5.Mira'!$F$7*'6.Cibernético'!$C$23*'6.Cibernético'!$D$24*'9.Simulação'!$D$14)+('7.Config'!$E$11*'3.Parâmetros_Azul'!$D$24*'3.Parâmetros_Azul'!$F$24*'3.Parâmetros_Azul'!$G$24*'3.Parâmetros_Azul'!$H$24*'5.Mira'!$F$8*'6.Cibernético'!$C$25*'6.Cibernético'!$D$24*'9.Simulação'!$E$14)+('7.Config'!$E$12*'3.Parâmetros_Azul'!$D$31*'3.Parâmetros_Azul'!$F$31*'3.Parâmetros_Azul'!$G$31*'3.Parâmetros_Azul'!$H$31*'5.Mira'!$F$9*'6.Cibernético'!$C$23*'6.Cibernético'!$D$24*'9.Simulação'!$F$14)+('7.Config'!$E$12*'3.Parâmetros_Azul'!$D$38*'3.Parâmetros_Azul'!$F$38*'3.Parâmetros_Azul'!$G$38*'3.Parâmetros_Azul'!$H$38*'5.Mira'!$F$10*'6.Cibernético'!$C$23*'6.Cibernético'!$D$24*'9.Simulação'!$G$14)+('7.Config'!$E$13*'3.Parâmetros_Azul'!$D$45*'3.Parâmetros_Azul'!$F$45*'3.Parâmetros_Azul'!$G$45*'3.Parâmetros_Azul'!$H$45*'5.Mira'!$F$11*'6.Cibernético'!$C$23*'6.Cibernético'!$D$24*'9.Simulação'!$H$14)+('7.Config'!$E$13*'3.Parâmetros_Azul'!$D$52*'3.Parâmetros_Azul'!$F$52*'3.Parâmetros_Azul'!$G$52*'3.Parâmetros_Azul'!$H$52*'5.Mira'!$F$12*'6.Cibernético'!$C$23*'6.Cibernético'!$D$24*'9.Simulação'!$I$14)</f>
        <v>0.33713320629346522</v>
      </c>
      <c r="K22" s="69">
        <f>('7.Config'!$E$10*'3.Parâmetros_Azul'!$D$10*'3.Parâmetros_Azul'!$F$10*'3.Parâmetros_Azul'!$G$10*'3.Parâmetros_Azul'!$H$10*'5.Mira'!$F$6*'6.Cibernético'!$C$23*'6.Cibernético'!$D$24*'9.Simulação'!$C$15)+('7.Config'!$E$10*'3.Parâmetros_Azul'!$D$17*'3.Parâmetros_Azul'!$F$17*'3.Parâmetros_Azul'!$G$17*'3.Parâmetros_Azul'!$H$17*'5.Mira'!$F$7*'6.Cibernético'!$C$23*'6.Cibernético'!$D$24*'9.Simulação'!$D$15)+('7.Config'!$E$11*'3.Parâmetros_Azul'!$D$24*'3.Parâmetros_Azul'!$F$24*'3.Parâmetros_Azul'!$G$24*'3.Parâmetros_Azul'!$H$24*'5.Mira'!$F$8*'6.Cibernético'!$C$25*'6.Cibernético'!$D$24*'9.Simulação'!$E$15)+('7.Config'!$E$12*'3.Parâmetros_Azul'!$D$31*'3.Parâmetros_Azul'!$F$31*'3.Parâmetros_Azul'!$G$31*'3.Parâmetros_Azul'!$H$31*'5.Mira'!$F$9*'6.Cibernético'!$C$23*'6.Cibernético'!$D$24*'9.Simulação'!$F$15)+('7.Config'!$E$12*'3.Parâmetros_Azul'!$D$38*'3.Parâmetros_Azul'!$F$38*'3.Parâmetros_Azul'!$G$38*'3.Parâmetros_Azul'!$H$38*'5.Mira'!$F$10*'6.Cibernético'!$C$23*'6.Cibernético'!$D$24*'9.Simulação'!$G$15)+('7.Config'!$E$13*'3.Parâmetros_Azul'!$D$45*'3.Parâmetros_Azul'!$F$45*'3.Parâmetros_Azul'!$G$45*'3.Parâmetros_Azul'!$H$45*'5.Mira'!$F$11*'6.Cibernético'!$C$23*'6.Cibernético'!$D$24*'9.Simulação'!$H$15)+('7.Config'!$E$13*'3.Parâmetros_Azul'!$D$52*'3.Parâmetros_Azul'!$F$52*'3.Parâmetros_Azul'!$G$52*'3.Parâmetros_Azul'!$H$52*'5.Mira'!$F$12*'6.Cibernético'!$C$23*'6.Cibernético'!$D$24*'9.Simulação'!$I$15)</f>
        <v>0.33601774034842236</v>
      </c>
      <c r="L22" s="69">
        <f>('7.Config'!$E$10*'3.Parâmetros_Azul'!$D$10*'3.Parâmetros_Azul'!$F$10*'3.Parâmetros_Azul'!$G$10*'3.Parâmetros_Azul'!$H$10*'5.Mira'!$F$6*'6.Cibernético'!$C$23*'6.Cibernético'!$D$24*'9.Simulação'!$C$16)+('7.Config'!$E$10*'3.Parâmetros_Azul'!$D$17*'3.Parâmetros_Azul'!$F$17*'3.Parâmetros_Azul'!$G$17*'3.Parâmetros_Azul'!$H$17*'5.Mira'!$F$7*'6.Cibernético'!$C$23*'6.Cibernético'!$D$24*'9.Simulação'!$D$16)+('7.Config'!$E$11*'3.Parâmetros_Azul'!$D$24*'3.Parâmetros_Azul'!$F$24*'3.Parâmetros_Azul'!$G$24*'3.Parâmetros_Azul'!$H$24*'5.Mira'!$F$8*'6.Cibernético'!$C$25*'6.Cibernético'!$D$24*'9.Simulação'!$E$16)+('7.Config'!$E$12*'3.Parâmetros_Azul'!$D$31*'3.Parâmetros_Azul'!$F$31*'3.Parâmetros_Azul'!$G$31*'3.Parâmetros_Azul'!$H$31*'5.Mira'!$F$9*'6.Cibernético'!$C$23*'6.Cibernético'!$D$24*'9.Simulação'!$F$16)+('7.Config'!$E$12*'3.Parâmetros_Azul'!$D$38*'3.Parâmetros_Azul'!$F$38*'3.Parâmetros_Azul'!$G$38*'3.Parâmetros_Azul'!$H$38*'5.Mira'!$F$10*'6.Cibernético'!$C$23*'6.Cibernético'!$D$24*'9.Simulação'!$G$16)+('7.Config'!$E$13*'3.Parâmetros_Azul'!$D$45*'3.Parâmetros_Azul'!$F$45*'3.Parâmetros_Azul'!$G$45*'3.Parâmetros_Azul'!$H$45*'5.Mira'!$F$11*'6.Cibernético'!$C$23*'6.Cibernético'!$D$24*'9.Simulação'!$H$16)+('7.Config'!$E$13*'3.Parâmetros_Azul'!$D$52*'3.Parâmetros_Azul'!$F$52*'3.Parâmetros_Azul'!$G$52*'3.Parâmetros_Azul'!$H$52*'5.Mira'!$F$12*'6.Cibernético'!$C$23*'6.Cibernético'!$D$24*'9.Simulação'!$I$16)</f>
        <v>0.3349019414350442</v>
      </c>
    </row>
    <row r="23" spans="1:12" x14ac:dyDescent="0.2">
      <c r="A23" s="68" t="s">
        <v>206</v>
      </c>
      <c r="B23" s="40" t="s">
        <v>91</v>
      </c>
      <c r="C23" s="69">
        <f>('7.Config'!$E$10*'3.Parâmetros_Azul'!$D$11*'3.Parâmetros_Azul'!$F$11*'3.Parâmetros_Azul'!$G$11*'3.Parâmetros_Azul'!$H$11*'5.Mira'!$G$6*'6.Cibernético'!$C$23*'6.Cibernético'!$D$24*'9.Simulação'!$C$7)+('7.Config'!$E$10*'3.Parâmetros_Azul'!$D$18*'3.Parâmetros_Azul'!$F$18*'3.Parâmetros_Azul'!$G$18*'3.Parâmetros_Azul'!$H$18*'5.Mira'!$G$7*'6.Cibernético'!$C$23*'6.Cibernético'!$D$24*'9.Simulação'!$D$7)+('7.Config'!$E$11*'3.Parâmetros_Azul'!$D$25*'3.Parâmetros_Azul'!$F$25*'3.Parâmetros_Azul'!$G$25*'3.Parâmetros_Azul'!$H$25*'5.Mira'!$G$8*'6.Cibernético'!$C$25*'6.Cibernético'!$D$24*'9.Simulação'!$E$7)+('7.Config'!$E$12*'3.Parâmetros_Azul'!$D$32*'3.Parâmetros_Azul'!$F$32*'3.Parâmetros_Azul'!$G$32*'3.Parâmetros_Azul'!$H$32*'5.Mira'!$G$9*'6.Cibernético'!$C$23*'6.Cibernético'!$D$24*'9.Simulação'!$F$7)+('7.Config'!$E$12*'3.Parâmetros_Azul'!$D$39*'3.Parâmetros_Azul'!$F$39*'3.Parâmetros_Azul'!$G$39*'3.Parâmetros_Azul'!$H$39*'5.Mira'!$G$10*'6.Cibernético'!$C$23*'6.Cibernético'!$D$24*'9.Simulação'!$G$7)+('7.Config'!$E$13*'3.Parâmetros_Azul'!$D$46*'3.Parâmetros_Azul'!$F$46*'3.Parâmetros_Azul'!$G$46*'3.Parâmetros_Azul'!$H$46*'5.Mira'!$G$11*'6.Cibernético'!$C$23*'6.Cibernético'!$D$24*'9.Simulação'!$H$7)+('7.Config'!$E$13*'3.Parâmetros_Azul'!$D$53*'3.Parâmetros_Azul'!$F$53*'3.Parâmetros_Azul'!$G$53*'3.Parâmetros_Azul'!$H$53*'5.Mira'!$G$12*'6.Cibernético'!$C$23*'6.Cibernético'!$D$24*'9.Simulação'!$I$7)</f>
        <v>0.34493124999999997</v>
      </c>
      <c r="D23" s="69">
        <f>('7.Config'!$E$10*'3.Parâmetros_Azul'!$D$11*'3.Parâmetros_Azul'!$F$11*'3.Parâmetros_Azul'!$G$11*'3.Parâmetros_Azul'!$H$11*'5.Mira'!$G$6*'6.Cibernético'!$C$23*'6.Cibernético'!$D$24*'9.Simulação'!$C$8)+('7.Config'!$E$10*'3.Parâmetros_Azul'!$D$18*'3.Parâmetros_Azul'!$F$18*'3.Parâmetros_Azul'!$G$18*'3.Parâmetros_Azul'!$H$18*'5.Mira'!$G$7*'6.Cibernético'!$C$23*'6.Cibernético'!$D$24*'9.Simulação'!$D$8)+('7.Config'!$E$11*'3.Parâmetros_Azul'!$D$25*'3.Parâmetros_Azul'!$F$25*'3.Parâmetros_Azul'!$G$25*'3.Parâmetros_Azul'!$H$25*'5.Mira'!$G$8*'6.Cibernético'!$C$25*'6.Cibernético'!$D$24*'9.Simulação'!$E$8)+('7.Config'!$E$12*'3.Parâmetros_Azul'!$D$32*'3.Parâmetros_Azul'!$F$32*'3.Parâmetros_Azul'!$G$32*'3.Parâmetros_Azul'!$H$32*'5.Mira'!$G$9*'6.Cibernético'!$C$23*'6.Cibernético'!$D$24*'9.Simulação'!$F$8)+('7.Config'!$E$12*'3.Parâmetros_Azul'!$D$39*'3.Parâmetros_Azul'!$F$39*'3.Parâmetros_Azul'!$G$39*'3.Parâmetros_Azul'!$H$39*'5.Mira'!$G$10*'6.Cibernético'!$C$23*'6.Cibernético'!$D$24*'9.Simulação'!$G$8)+('7.Config'!$E$13*'3.Parâmetros_Azul'!$D$46*'3.Parâmetros_Azul'!$F$46*'3.Parâmetros_Azul'!$G$46*'3.Parâmetros_Azul'!$H$46*'5.Mira'!$G$11*'6.Cibernético'!$C$23*'6.Cibernético'!$D$24*'9.Simulação'!$H$8)+('7.Config'!$E$13*'3.Parâmetros_Azul'!$D$53*'3.Parâmetros_Azul'!$F$53*'3.Parâmetros_Azul'!$G$53*'3.Parâmetros_Azul'!$H$53*'5.Mira'!$G$12*'6.Cibernético'!$C$23*'6.Cibernético'!$D$24*'9.Simulação'!$I$8)</f>
        <v>0.34381778378592576</v>
      </c>
      <c r="E23" s="69">
        <f>('7.Config'!$E$10*'3.Parâmetros_Azul'!$D$11*'3.Parâmetros_Azul'!$F$11*'3.Parâmetros_Azul'!$G$11*'3.Parâmetros_Azul'!$H$11*'5.Mira'!$G$6*'6.Cibernético'!$C$23*'6.Cibernético'!$D$24*'9.Simulação'!$C$9)+('7.Config'!$E$10*'3.Parâmetros_Azul'!$D$18*'3.Parâmetros_Azul'!$F$18*'3.Parâmetros_Azul'!$G$18*'3.Parâmetros_Azul'!$H$18*'5.Mira'!$G$7*'6.Cibernético'!$C$23*'6.Cibernético'!$D$24*'9.Simulação'!$D$9)+('7.Config'!$E$11*'3.Parâmetros_Azul'!$D$25*'3.Parâmetros_Azul'!$F$25*'3.Parâmetros_Azul'!$G$25*'3.Parâmetros_Azul'!$H$25*'5.Mira'!$G$8*'6.Cibernético'!$C$25*'6.Cibernético'!$D$24*'9.Simulação'!$E$9)+('7.Config'!$E$12*'3.Parâmetros_Azul'!$D$32*'3.Parâmetros_Azul'!$F$32*'3.Parâmetros_Azul'!$G$32*'3.Parâmetros_Azul'!$H$32*'5.Mira'!$G$9*'6.Cibernético'!$C$23*'6.Cibernético'!$D$24*'9.Simulação'!$F$9)+('7.Config'!$E$12*'3.Parâmetros_Azul'!$D$39*'3.Parâmetros_Azul'!$F$39*'3.Parâmetros_Azul'!$G$39*'3.Parâmetros_Azul'!$H$39*'5.Mira'!$G$10*'6.Cibernético'!$C$23*'6.Cibernético'!$D$24*'9.Simulação'!$G$9)+('7.Config'!$E$13*'3.Parâmetros_Azul'!$D$46*'3.Parâmetros_Azul'!$F$46*'3.Parâmetros_Azul'!$G$46*'3.Parâmetros_Azul'!$H$46*'5.Mira'!$G$11*'6.Cibernético'!$C$23*'6.Cibernético'!$D$24*'9.Simulação'!$H$9)+('7.Config'!$E$13*'3.Parâmetros_Azul'!$D$53*'3.Parâmetros_Azul'!$F$53*'3.Parâmetros_Azul'!$G$53*'3.Parâmetros_Azul'!$H$53*'5.Mira'!$G$12*'6.Cibernético'!$C$23*'6.Cibernético'!$D$24*'9.Simulação'!$I$9)</f>
        <v>0.34270424069526062</v>
      </c>
      <c r="F23" s="69">
        <f>('7.Config'!$E$10*'3.Parâmetros_Azul'!$D$11*'3.Parâmetros_Azul'!$F$11*'3.Parâmetros_Azul'!$G$11*'3.Parâmetros_Azul'!$H$11*'5.Mira'!$G$6*'6.Cibernético'!$C$23*'6.Cibernético'!$D$24*'9.Simulação'!$C$10)+('7.Config'!$E$10*'3.Parâmetros_Azul'!$D$18*'3.Parâmetros_Azul'!$F$18*'3.Parâmetros_Azul'!$G$18*'3.Parâmetros_Azul'!$H$18*'5.Mira'!$G$7*'6.Cibernético'!$C$23*'6.Cibernético'!$D$24*'9.Simulação'!$D$10)+('7.Config'!$E$11*'3.Parâmetros_Azul'!$D$25*'3.Parâmetros_Azul'!$F$25*'3.Parâmetros_Azul'!$G$25*'3.Parâmetros_Azul'!$H$25*'5.Mira'!$G$8*'6.Cibernético'!$C$25*'6.Cibernético'!$D$24*'9.Simulação'!$E$10)+('7.Config'!$E$12*'3.Parâmetros_Azul'!$D$32*'3.Parâmetros_Azul'!$F$32*'3.Parâmetros_Azul'!$G$32*'3.Parâmetros_Azul'!$H$32*'5.Mira'!$G$9*'6.Cibernético'!$C$23*'6.Cibernético'!$D$24*'9.Simulação'!$F$10)+('7.Config'!$E$12*'3.Parâmetros_Azul'!$D$39*'3.Parâmetros_Azul'!$F$39*'3.Parâmetros_Azul'!$G$39*'3.Parâmetros_Azul'!$H$39*'5.Mira'!$G$10*'6.Cibernético'!$C$23*'6.Cibernético'!$D$24*'9.Simulação'!$G$10)+('7.Config'!$E$13*'3.Parâmetros_Azul'!$D$46*'3.Parâmetros_Azul'!$F$46*'3.Parâmetros_Azul'!$G$46*'3.Parâmetros_Azul'!$H$46*'5.Mira'!$G$11*'6.Cibernético'!$C$23*'6.Cibernético'!$D$24*'9.Simulação'!$H$10)+('7.Config'!$E$13*'3.Parâmetros_Azul'!$D$53*'3.Parâmetros_Azul'!$F$53*'3.Parâmetros_Azul'!$G$53*'3.Parâmetros_Azul'!$H$53*'5.Mira'!$G$12*'6.Cibernético'!$C$23*'6.Cibernético'!$D$24*'9.Simulação'!$I$10)</f>
        <v>0.34159067380851632</v>
      </c>
      <c r="G23" s="69">
        <f>('7.Config'!$E$10*'3.Parâmetros_Azul'!$D$11*'3.Parâmetros_Azul'!$F$11*'3.Parâmetros_Azul'!$G$11*'3.Parâmetros_Azul'!$H$11*'5.Mira'!$G$6*'6.Cibernético'!$C$23*'6.Cibernético'!$D$24*'9.Simulação'!$C$11)+('7.Config'!$E$10*'3.Parâmetros_Azul'!$D$18*'3.Parâmetros_Azul'!$F$18*'3.Parâmetros_Azul'!$G$18*'3.Parâmetros_Azul'!$H$18*'5.Mira'!$G$7*'6.Cibernético'!$C$23*'6.Cibernético'!$D$24*'9.Simulação'!$D$11)+('7.Config'!$E$11*'3.Parâmetros_Azul'!$D$25*'3.Parâmetros_Azul'!$F$25*'3.Parâmetros_Azul'!$G$25*'3.Parâmetros_Azul'!$H$25*'5.Mira'!$G$8*'6.Cibernético'!$C$25*'6.Cibernético'!$D$24*'9.Simulação'!$E$11)+('7.Config'!$E$12*'3.Parâmetros_Azul'!$D$32*'3.Parâmetros_Azul'!$F$32*'3.Parâmetros_Azul'!$G$32*'3.Parâmetros_Azul'!$H$32*'5.Mira'!$G$9*'6.Cibernético'!$C$23*'6.Cibernético'!$D$24*'9.Simulação'!$F$11)+('7.Config'!$E$12*'3.Parâmetros_Azul'!$D$39*'3.Parâmetros_Azul'!$F$39*'3.Parâmetros_Azul'!$G$39*'3.Parâmetros_Azul'!$H$39*'5.Mira'!$G$10*'6.Cibernético'!$C$23*'6.Cibernético'!$D$24*'9.Simulação'!$G$11)+('7.Config'!$E$13*'3.Parâmetros_Azul'!$D$46*'3.Parâmetros_Azul'!$F$46*'3.Parâmetros_Azul'!$G$46*'3.Parâmetros_Azul'!$H$46*'5.Mira'!$G$11*'6.Cibernético'!$C$23*'6.Cibernético'!$D$24*'9.Simulação'!$H$11)+('7.Config'!$E$13*'3.Parâmetros_Azul'!$D$53*'3.Parâmetros_Azul'!$F$53*'3.Parâmetros_Azul'!$G$53*'3.Parâmetros_Azul'!$H$53*'5.Mira'!$G$12*'6.Cibernético'!$C$23*'6.Cibernético'!$D$24*'9.Simulação'!$I$11)</f>
        <v>0.34047707027392149</v>
      </c>
      <c r="H23" s="69">
        <f>('7.Config'!$E$10*'3.Parâmetros_Azul'!$D$11*'3.Parâmetros_Azul'!$F$11*'3.Parâmetros_Azul'!$G$11*'3.Parâmetros_Azul'!$H$11*'5.Mira'!$G$6*'6.Cibernético'!$C$23*'6.Cibernético'!$D$24*'9.Simulação'!$C$12)+('7.Config'!$E$10*'3.Parâmetros_Azul'!$D$18*'3.Parâmetros_Azul'!$F$18*'3.Parâmetros_Azul'!$G$18*'3.Parâmetros_Azul'!$H$18*'5.Mira'!$G$7*'6.Cibernético'!$C$23*'6.Cibernético'!$D$24*'9.Simulação'!$D$12)+('7.Config'!$E$11*'3.Parâmetros_Azul'!$D$25*'3.Parâmetros_Azul'!$F$25*'3.Parâmetros_Azul'!$G$25*'3.Parâmetros_Azul'!$H$25*'5.Mira'!$G$8*'6.Cibernético'!$C$25*'6.Cibernético'!$D$24*'9.Simulação'!$E$12)+('7.Config'!$E$12*'3.Parâmetros_Azul'!$D$32*'3.Parâmetros_Azul'!$F$32*'3.Parâmetros_Azul'!$G$32*'3.Parâmetros_Azul'!$H$32*'5.Mira'!$G$9*'6.Cibernético'!$C$23*'6.Cibernético'!$D$24*'9.Simulação'!$F$12)+('7.Config'!$E$12*'3.Parâmetros_Azul'!$D$39*'3.Parâmetros_Azul'!$F$39*'3.Parâmetros_Azul'!$G$39*'3.Parâmetros_Azul'!$H$39*'5.Mira'!$G$10*'6.Cibernético'!$C$23*'6.Cibernético'!$D$24*'9.Simulação'!$G$12)+('7.Config'!$E$13*'3.Parâmetros_Azul'!$D$46*'3.Parâmetros_Azul'!$F$46*'3.Parâmetros_Azul'!$G$46*'3.Parâmetros_Azul'!$H$46*'5.Mira'!$G$11*'6.Cibernético'!$C$23*'6.Cibernético'!$D$24*'9.Simulação'!$H$12)+('7.Config'!$E$13*'3.Parâmetros_Azul'!$D$53*'3.Parâmetros_Azul'!$F$53*'3.Parâmetros_Azul'!$G$53*'3.Parâmetros_Azul'!$H$53*'5.Mira'!$G$12*'6.Cibernético'!$C$23*'6.Cibernético'!$D$24*'9.Simulação'!$I$12)</f>
        <v>0.33936292375181154</v>
      </c>
      <c r="I23" s="69">
        <f>('7.Config'!$E$10*'3.Parâmetros_Azul'!$D$11*'3.Parâmetros_Azul'!$F$11*'3.Parâmetros_Azul'!$G$11*'3.Parâmetros_Azul'!$H$11*'5.Mira'!$G$6*'6.Cibernético'!$C$23*'6.Cibernético'!$D$24*'9.Simulação'!$C$13)+('7.Config'!$E$10*'3.Parâmetros_Azul'!$D$18*'3.Parâmetros_Azul'!$F$18*'3.Parâmetros_Azul'!$G$18*'3.Parâmetros_Azul'!$H$18*'5.Mira'!$G$7*'6.Cibernético'!$C$23*'6.Cibernético'!$D$24*'9.Simulação'!$D$13)+('7.Config'!$E$11*'3.Parâmetros_Azul'!$D$25*'3.Parâmetros_Azul'!$F$25*'3.Parâmetros_Azul'!$G$25*'3.Parâmetros_Azul'!$H$25*'5.Mira'!$G$8*'6.Cibernético'!$C$25*'6.Cibernético'!$D$24*'9.Simulação'!$E$13)+('7.Config'!$E$12*'3.Parâmetros_Azul'!$D$32*'3.Parâmetros_Azul'!$F$32*'3.Parâmetros_Azul'!$G$32*'3.Parâmetros_Azul'!$H$32*'5.Mira'!$G$9*'6.Cibernético'!$C$23*'6.Cibernético'!$D$24*'9.Simulação'!$F$13)+('7.Config'!$E$12*'3.Parâmetros_Azul'!$D$39*'3.Parâmetros_Azul'!$F$39*'3.Parâmetros_Azul'!$G$39*'3.Parâmetros_Azul'!$H$39*'5.Mira'!$G$10*'6.Cibernético'!$C$23*'6.Cibernético'!$D$24*'9.Simulação'!$G$13)+('7.Config'!$E$13*'3.Parâmetros_Azul'!$D$46*'3.Parâmetros_Azul'!$F$46*'3.Parâmetros_Azul'!$G$46*'3.Parâmetros_Azul'!$H$46*'5.Mira'!$G$11*'6.Cibernético'!$C$23*'6.Cibernético'!$D$24*'9.Simulação'!$H$13)+('7.Config'!$E$13*'3.Parâmetros_Azul'!$D$53*'3.Parâmetros_Azul'!$F$53*'3.Parâmetros_Azul'!$G$53*'3.Parâmetros_Azul'!$H$53*'5.Mira'!$G$12*'6.Cibernético'!$C$23*'6.Cibernético'!$D$24*'9.Simulação'!$I$13)</f>
        <v>0.33824828510941796</v>
      </c>
      <c r="J23" s="69">
        <f>('7.Config'!$E$10*'3.Parâmetros_Azul'!$D$11*'3.Parâmetros_Azul'!$F$11*'3.Parâmetros_Azul'!$G$11*'3.Parâmetros_Azul'!$H$11*'5.Mira'!$G$6*'6.Cibernético'!$C$23*'6.Cibernético'!$D$24*'9.Simulação'!$C$14)+('7.Config'!$E$10*'3.Parâmetros_Azul'!$D$18*'3.Parâmetros_Azul'!$F$18*'3.Parâmetros_Azul'!$G$18*'3.Parâmetros_Azul'!$H$18*'5.Mira'!$G$7*'6.Cibernético'!$C$23*'6.Cibernético'!$D$24*'9.Simulação'!$D$14)+('7.Config'!$E$11*'3.Parâmetros_Azul'!$D$25*'3.Parâmetros_Azul'!$F$25*'3.Parâmetros_Azul'!$G$25*'3.Parâmetros_Azul'!$H$25*'5.Mira'!$G$8*'6.Cibernético'!$C$25*'6.Cibernético'!$D$24*'9.Simulação'!$E$14)+('7.Config'!$E$12*'3.Parâmetros_Azul'!$D$32*'3.Parâmetros_Azul'!$F$32*'3.Parâmetros_Azul'!$G$32*'3.Parâmetros_Azul'!$H$32*'5.Mira'!$G$9*'6.Cibernético'!$C$23*'6.Cibernético'!$D$24*'9.Simulação'!$F$14)+('7.Config'!$E$12*'3.Parâmetros_Azul'!$D$39*'3.Parâmetros_Azul'!$F$39*'3.Parâmetros_Azul'!$G$39*'3.Parâmetros_Azul'!$H$39*'5.Mira'!$G$10*'6.Cibernético'!$C$23*'6.Cibernético'!$D$24*'9.Simulação'!$G$14)+('7.Config'!$E$13*'3.Parâmetros_Azul'!$D$46*'3.Parâmetros_Azul'!$F$46*'3.Parâmetros_Azul'!$G$46*'3.Parâmetros_Azul'!$H$46*'5.Mira'!$G$11*'6.Cibernético'!$C$23*'6.Cibernético'!$D$24*'9.Simulação'!$H$14)+('7.Config'!$E$13*'3.Parâmetros_Azul'!$D$53*'3.Parâmetros_Azul'!$F$53*'3.Parâmetros_Azul'!$G$53*'3.Parâmetros_Azul'!$H$53*'5.Mira'!$G$12*'6.Cibernético'!$C$23*'6.Cibernético'!$D$24*'9.Simulação'!$I$14)</f>
        <v>0.33713320629346522</v>
      </c>
      <c r="K23" s="69">
        <f>('7.Config'!$E$10*'3.Parâmetros_Azul'!$D$11*'3.Parâmetros_Azul'!$F$11*'3.Parâmetros_Azul'!$G$11*'3.Parâmetros_Azul'!$H$11*'5.Mira'!$G$6*'6.Cibernético'!$C$23*'6.Cibernético'!$D$24*'9.Simulação'!$C$15)+('7.Config'!$E$10*'3.Parâmetros_Azul'!$D$18*'3.Parâmetros_Azul'!$F$18*'3.Parâmetros_Azul'!$G$18*'3.Parâmetros_Azul'!$H$18*'5.Mira'!$G$7*'6.Cibernético'!$C$23*'6.Cibernético'!$D$24*'9.Simulação'!$D$15)+('7.Config'!$E$11*'3.Parâmetros_Azul'!$D$25*'3.Parâmetros_Azul'!$F$25*'3.Parâmetros_Azul'!$G$25*'3.Parâmetros_Azul'!$H$25*'5.Mira'!$G$8*'6.Cibernético'!$C$25*'6.Cibernético'!$D$24*'9.Simulação'!$E$15)+('7.Config'!$E$12*'3.Parâmetros_Azul'!$D$32*'3.Parâmetros_Azul'!$F$32*'3.Parâmetros_Azul'!$G$32*'3.Parâmetros_Azul'!$H$32*'5.Mira'!$G$9*'6.Cibernético'!$C$23*'6.Cibernético'!$D$24*'9.Simulação'!$F$15)+('7.Config'!$E$12*'3.Parâmetros_Azul'!$D$39*'3.Parâmetros_Azul'!$F$39*'3.Parâmetros_Azul'!$G$39*'3.Parâmetros_Azul'!$H$39*'5.Mira'!$G$10*'6.Cibernético'!$C$23*'6.Cibernético'!$D$24*'9.Simulação'!$G$15)+('7.Config'!$E$13*'3.Parâmetros_Azul'!$D$46*'3.Parâmetros_Azul'!$F$46*'3.Parâmetros_Azul'!$G$46*'3.Parâmetros_Azul'!$H$46*'5.Mira'!$G$11*'6.Cibernético'!$C$23*'6.Cibernético'!$D$24*'9.Simulação'!$H$15)+('7.Config'!$E$13*'3.Parâmetros_Azul'!$D$53*'3.Parâmetros_Azul'!$F$53*'3.Parâmetros_Azul'!$G$53*'3.Parâmetros_Azul'!$H$53*'5.Mira'!$G$12*'6.Cibernético'!$C$23*'6.Cibernético'!$D$24*'9.Simulação'!$I$15)</f>
        <v>0.33601774034842236</v>
      </c>
      <c r="L23" s="69">
        <f>('7.Config'!$E$10*'3.Parâmetros_Azul'!$D$11*'3.Parâmetros_Azul'!$F$11*'3.Parâmetros_Azul'!$G$11*'3.Parâmetros_Azul'!$H$11*'5.Mira'!$G$6*'6.Cibernético'!$C$23*'6.Cibernético'!$D$24*'9.Simulação'!$C$16)+('7.Config'!$E$10*'3.Parâmetros_Azul'!$D$18*'3.Parâmetros_Azul'!$F$18*'3.Parâmetros_Azul'!$G$18*'3.Parâmetros_Azul'!$H$18*'5.Mira'!$G$7*'6.Cibernético'!$C$23*'6.Cibernético'!$D$24*'9.Simulação'!$D$16)+('7.Config'!$E$11*'3.Parâmetros_Azul'!$D$25*'3.Parâmetros_Azul'!$F$25*'3.Parâmetros_Azul'!$G$25*'3.Parâmetros_Azul'!$H$25*'5.Mira'!$G$8*'6.Cibernético'!$C$25*'6.Cibernético'!$D$24*'9.Simulação'!$E$16)+('7.Config'!$E$12*'3.Parâmetros_Azul'!$D$32*'3.Parâmetros_Azul'!$F$32*'3.Parâmetros_Azul'!$G$32*'3.Parâmetros_Azul'!$H$32*'5.Mira'!$G$9*'6.Cibernético'!$C$23*'6.Cibernético'!$D$24*'9.Simulação'!$F$16)+('7.Config'!$E$12*'3.Parâmetros_Azul'!$D$39*'3.Parâmetros_Azul'!$F$39*'3.Parâmetros_Azul'!$G$39*'3.Parâmetros_Azul'!$H$39*'5.Mira'!$G$10*'6.Cibernético'!$C$23*'6.Cibernético'!$D$24*'9.Simulação'!$G$16)+('7.Config'!$E$13*'3.Parâmetros_Azul'!$D$46*'3.Parâmetros_Azul'!$F$46*'3.Parâmetros_Azul'!$G$46*'3.Parâmetros_Azul'!$H$46*'5.Mira'!$G$11*'6.Cibernético'!$C$23*'6.Cibernético'!$D$24*'9.Simulação'!$H$16)+('7.Config'!$E$13*'3.Parâmetros_Azul'!$D$53*'3.Parâmetros_Azul'!$F$53*'3.Parâmetros_Azul'!$G$53*'3.Parâmetros_Azul'!$H$53*'5.Mira'!$G$12*'6.Cibernético'!$C$23*'6.Cibernético'!$D$24*'9.Simulação'!$I$16)</f>
        <v>0.3349019414350442</v>
      </c>
    </row>
    <row r="24" spans="1:12" x14ac:dyDescent="0.2">
      <c r="A24" s="68" t="s">
        <v>207</v>
      </c>
      <c r="B24" s="40" t="s">
        <v>81</v>
      </c>
      <c r="C24" s="69">
        <f>('7.Config'!$C$10*'4.Parâmetros_Verm'!$E$7*'4.Parâmetros_Verm'!$I$7*'4.Parâmetros_Verm'!$G$7*'5.Mira'!$C$37*'6.Cibernético'!$E$24*'9.Simulação'!$K$7)+('7.Config'!$C$10*'4.Parâmetros_Verm'!$E$8*'4.Parâmetros_Verm'!$I$8*'4.Parâmetros_Verm'!$G$8*'5.Mira'!$D$37*'6.Cibernético'!$E$24*'9.Simulação'!$K$7)+('7.Config'!$C$11*'4.Parâmetros_Verm'!$E$9*'4.Parâmetros_Verm'!$I$9*'4.Parâmetros_Verm'!$G$9*'5.Mira'!$E$37*'6.Cibernético'!$E$24*'9.Simulação'!$K$7)+('7.Config'!$C$12*'4.Parâmetros_Verm'!$E$10*'4.Parâmetros_Verm'!$I$10*'4.Parâmetros_Verm'!$G$10*'5.Mira'!$F$37*'6.Cibernético'!$E$24*'9.Simulação'!$K$7)+('7.Config'!$C$12*'4.Parâmetros_Verm'!$E$11*'4.Parâmetros_Verm'!$I$11*'4.Parâmetros_Verm'!$G$11*'5.Mira'!$G$37*'6.Cibernético'!$E$24*'9.Simulação'!$K$7)+('7.Config'!$C$13*'4.Parâmetros_Verm'!$E$12*'4.Parâmetros_Verm'!$I$12*'4.Parâmetros_Verm'!$G$12*'5.Mira'!$H$37*'6.Cibernético'!$E$24*'9.Simulação'!$K$7)+('7.Config'!$C$13*'4.Parâmetros_Verm'!$E$13*'4.Parâmetros_Verm'!$I$13*'4.Parâmetros_Verm'!$G$13*'5.Mira'!$I$37*'6.Cibernético'!$E$24*'9.Simulação'!$K$7)</f>
        <v>0.64851162186246847</v>
      </c>
      <c r="D24" s="69">
        <f>('7.Config'!$C$10*'4.Parâmetros_Verm'!$E$7*'4.Parâmetros_Verm'!$I$7*'4.Parâmetros_Verm'!$G$7*'5.Mira'!$C$37*'6.Cibernético'!$E$24*'9.Simulação'!$K$8)+('7.Config'!$C$10*'4.Parâmetros_Verm'!$E$8*'4.Parâmetros_Verm'!$I$8*'4.Parâmetros_Verm'!$G$8*'5.Mira'!$D$37*'6.Cibernético'!$E$24*'9.Simulação'!$K$8)+('7.Config'!$C$11*'4.Parâmetros_Verm'!$E$9*'4.Parâmetros_Verm'!$I$9*'4.Parâmetros_Verm'!$G$9*'5.Mira'!$E$37*'6.Cibernético'!$E$24*'9.Simulação'!$K$8)+('7.Config'!$C$12*'4.Parâmetros_Verm'!$E$10*'4.Parâmetros_Verm'!$I$10*'4.Parâmetros_Verm'!$G$10*'5.Mira'!$F$37*'6.Cibernético'!$E$24*'9.Simulação'!$K$8)+('7.Config'!$C$12*'4.Parâmetros_Verm'!$E$11*'4.Parâmetros_Verm'!$I$11*'4.Parâmetros_Verm'!$G$11*'5.Mira'!$G$37*'6.Cibernético'!$E$24*'9.Simulação'!$K$8)+('7.Config'!$C$13*'4.Parâmetros_Verm'!$E$12*'4.Parâmetros_Verm'!$I$12*'4.Parâmetros_Verm'!$G$12*'5.Mira'!$H$37*'6.Cibernético'!$E$24*'9.Simulação'!$K$8)+('7.Config'!$C$13*'4.Parâmetros_Verm'!$E$13*'4.Parâmetros_Verm'!$I$13*'4.Parâmetros_Verm'!$G$13*'5.Mira'!$I$37*'6.Cibernético'!$E$24*'9.Simulação'!$K$8)</f>
        <v>0.64085463227410022</v>
      </c>
      <c r="E24" s="69">
        <f>('7.Config'!$C$10*'4.Parâmetros_Verm'!$E$7*'4.Parâmetros_Verm'!$I$7*'4.Parâmetros_Verm'!$G$7*'5.Mira'!$C$37*'6.Cibernético'!$E$24*'9.Simulação'!$K$9)+('7.Config'!$C$10*'4.Parâmetros_Verm'!$E$8*'4.Parâmetros_Verm'!$I$8*'4.Parâmetros_Verm'!$G$8*'5.Mira'!$D$37*'6.Cibernético'!$E$24*'9.Simulação'!$K$9)+('7.Config'!$C$11*'4.Parâmetros_Verm'!$E$9*'4.Parâmetros_Verm'!$I$9*'4.Parâmetros_Verm'!$G$9*'5.Mira'!$E$37*'6.Cibernético'!$E$24*'9.Simulação'!$K$9)+('7.Config'!$C$12*'4.Parâmetros_Verm'!$E$10*'4.Parâmetros_Verm'!$I$10*'4.Parâmetros_Verm'!$G$10*'5.Mira'!$F$37*'6.Cibernético'!$E$24*'9.Simulação'!$K$9)+('7.Config'!$C$12*'4.Parâmetros_Verm'!$E$11*'4.Parâmetros_Verm'!$I$11*'4.Parâmetros_Verm'!$G$11*'5.Mira'!$G$37*'6.Cibernético'!$E$24*'9.Simulação'!$K$9)+('7.Config'!$C$13*'4.Parâmetros_Verm'!$E$12*'4.Parâmetros_Verm'!$I$12*'4.Parâmetros_Verm'!$G$12*'5.Mira'!$H$37*'6.Cibernético'!$E$24*'9.Simulação'!$K$9)+('7.Config'!$C$13*'4.Parâmetros_Verm'!$E$13*'4.Parâmetros_Verm'!$I$13*'4.Parâmetros_Verm'!$G$13*'5.Mira'!$I$37*'6.Cibernético'!$E$24*'9.Simulação'!$K$9)</f>
        <v>0.63314801002857579</v>
      </c>
      <c r="F24" s="69">
        <f>('7.Config'!$C$10*'4.Parâmetros_Verm'!$E$7*'4.Parâmetros_Verm'!$I$7*'4.Parâmetros_Verm'!$G$7*'5.Mira'!$C$37*'6.Cibernético'!$E$24*'9.Simulação'!$K$10)+('7.Config'!$C$10*'4.Parâmetros_Verm'!$E$8*'4.Parâmetros_Verm'!$I$8*'4.Parâmetros_Verm'!$G$8*'5.Mira'!$D$37*'6.Cibernético'!$E$24*'9.Simulação'!$K$10)+('7.Config'!$C$11*'4.Parâmetros_Verm'!$E$9*'4.Parâmetros_Verm'!$I$9*'4.Parâmetros_Verm'!$G$9*'5.Mira'!$E$37*'6.Cibernético'!$E$24*'9.Simulação'!$K$10)+('7.Config'!$C$12*'4.Parâmetros_Verm'!$E$10*'4.Parâmetros_Verm'!$I$10*'4.Parâmetros_Verm'!$G$10*'5.Mira'!$F$37*'6.Cibernético'!$E$24*'9.Simulação'!$K$10)+('7.Config'!$C$12*'4.Parâmetros_Verm'!$E$11*'4.Parâmetros_Verm'!$I$11*'4.Parâmetros_Verm'!$G$11*'5.Mira'!$G$37*'6.Cibernético'!$E$24*'9.Simulação'!$K$10)+('7.Config'!$C$13*'4.Parâmetros_Verm'!$E$12*'4.Parâmetros_Verm'!$I$12*'4.Parâmetros_Verm'!$G$12*'5.Mira'!$H$37*'6.Cibernético'!$E$24*'9.Simulação'!$K$10)+('7.Config'!$C$13*'4.Parâmetros_Verm'!$E$13*'4.Parâmetros_Verm'!$I$13*'4.Parâmetros_Verm'!$G$13*'5.Mira'!$I$37*'6.Cibernético'!$E$24*'9.Simulação'!$K$10)</f>
        <v>0.62539116858235466</v>
      </c>
      <c r="G24" s="69">
        <f>('7.Config'!$C$10*'4.Parâmetros_Verm'!$E$7*'4.Parâmetros_Verm'!$I$7*'4.Parâmetros_Verm'!$G$7*'5.Mira'!$C$37*'6.Cibernético'!$E$24*'9.Simulação'!$K$11)+('7.Config'!$C$10*'4.Parâmetros_Verm'!$E$8*'4.Parâmetros_Verm'!$I$8*'4.Parâmetros_Verm'!$G$8*'5.Mira'!$D$37*'6.Cibernético'!$E$24*'9.Simulação'!$K$11)+('7.Config'!$C$11*'4.Parâmetros_Verm'!$E$9*'4.Parâmetros_Verm'!$I$9*'4.Parâmetros_Verm'!$G$9*'5.Mira'!$E$37*'6.Cibernético'!$E$24*'9.Simulação'!$K$11)+('7.Config'!$C$12*'4.Parâmetros_Verm'!$E$10*'4.Parâmetros_Verm'!$I$10*'4.Parâmetros_Verm'!$G$10*'5.Mira'!$F$37*'6.Cibernético'!$E$24*'9.Simulação'!$K$11)+('7.Config'!$C$12*'4.Parâmetros_Verm'!$E$11*'4.Parâmetros_Verm'!$I$11*'4.Parâmetros_Verm'!$G$11*'5.Mira'!$G$37*'6.Cibernético'!$E$24*'9.Simulação'!$K$11)+('7.Config'!$C$13*'4.Parâmetros_Verm'!$E$12*'4.Parâmetros_Verm'!$I$12*'4.Parâmetros_Verm'!$G$12*'5.Mira'!$H$37*'6.Cibernético'!$E$24*'9.Simulação'!$K$11)+('7.Config'!$C$13*'4.Parâmetros_Verm'!$E$13*'4.Parâmetros_Verm'!$I$13*'4.Parâmetros_Verm'!$G$13*'5.Mira'!$I$37*'6.Cibernético'!$E$24*'9.Simulação'!$K$11)</f>
        <v>0.61758351323824712</v>
      </c>
      <c r="H24" s="69">
        <f>('7.Config'!$C$10*'4.Parâmetros_Verm'!$E$7*'4.Parâmetros_Verm'!$I$7*'4.Parâmetros_Verm'!$G$7*'5.Mira'!$C$37*'6.Cibernético'!$E$24*'9.Simulação'!$K$12)+('7.Config'!$C$10*'4.Parâmetros_Verm'!$E$8*'4.Parâmetros_Verm'!$I$8*'4.Parâmetros_Verm'!$G$8*'5.Mira'!$D$37*'6.Cibernético'!$E$24*'9.Simulação'!$K$12)+('7.Config'!$C$11*'4.Parâmetros_Verm'!$E$9*'4.Parâmetros_Verm'!$I$9*'4.Parâmetros_Verm'!$G$9*'5.Mira'!$E$37*'6.Cibernético'!$E$24*'9.Simulação'!$K$12)+('7.Config'!$C$12*'4.Parâmetros_Verm'!$E$10*'4.Parâmetros_Verm'!$I$10*'4.Parâmetros_Verm'!$G$10*'5.Mira'!$F$37*'6.Cibernético'!$E$24*'9.Simulação'!$K$12)+('7.Config'!$C$12*'4.Parâmetros_Verm'!$E$11*'4.Parâmetros_Verm'!$I$11*'4.Parâmetros_Verm'!$G$11*'5.Mira'!$G$37*'6.Cibernético'!$E$24*'9.Simulação'!$K$12)+('7.Config'!$C$13*'4.Parâmetros_Verm'!$E$12*'4.Parâmetros_Verm'!$I$12*'4.Parâmetros_Verm'!$G$12*'5.Mira'!$H$37*'6.Cibernético'!$E$24*'9.Simulação'!$K$12)+('7.Config'!$C$13*'4.Parâmetros_Verm'!$E$13*'4.Parâmetros_Verm'!$I$13*'4.Parâmetros_Verm'!$G$13*'5.Mira'!$I$37*'6.Cibernético'!$E$24*'9.Simulação'!$K$12)</f>
        <v>0.60972444503796208</v>
      </c>
      <c r="I24" s="69">
        <f>('7.Config'!$C$10*'4.Parâmetros_Verm'!$E$7*'4.Parâmetros_Verm'!$I$7*'4.Parâmetros_Verm'!$G$7*'5.Mira'!$C$37*'6.Cibernético'!$E$24*'9.Simulação'!$K$13)+('7.Config'!$C$10*'4.Parâmetros_Verm'!$E$8*'4.Parâmetros_Verm'!$I$8*'4.Parâmetros_Verm'!$G$8*'5.Mira'!$D$37*'6.Cibernético'!$E$24*'9.Simulação'!$K$13)+('7.Config'!$C$11*'4.Parâmetros_Verm'!$E$9*'4.Parâmetros_Verm'!$I$9*'4.Parâmetros_Verm'!$G$9*'5.Mira'!$E$37*'6.Cibernético'!$E$24*'9.Simulação'!$K$13)+('7.Config'!$C$12*'4.Parâmetros_Verm'!$E$10*'4.Parâmetros_Verm'!$I$10*'4.Parâmetros_Verm'!$G$10*'5.Mira'!$F$37*'6.Cibernético'!$E$24*'9.Simulação'!$K$13)+('7.Config'!$C$12*'4.Parâmetros_Verm'!$E$11*'4.Parâmetros_Verm'!$I$11*'4.Parâmetros_Verm'!$G$11*'5.Mira'!$G$37*'6.Cibernético'!$E$24*'9.Simulação'!$K$13)+('7.Config'!$C$13*'4.Parâmetros_Verm'!$E$12*'4.Parâmetros_Verm'!$I$12*'4.Parâmetros_Verm'!$G$12*'5.Mira'!$H$37*'6.Cibernético'!$E$24*'9.Simulação'!$K$13)+('7.Config'!$C$13*'4.Parâmetros_Verm'!$E$13*'4.Parâmetros_Verm'!$I$13*'4.Parâmetros_Verm'!$G$13*'5.Mira'!$I$37*'6.Cibernético'!$E$24*'9.Simulação'!$K$13)</f>
        <v>0.60181339029192482</v>
      </c>
      <c r="J24" s="69">
        <f>('7.Config'!$C$10*'4.Parâmetros_Verm'!$E$7*'4.Parâmetros_Verm'!$I$7*'4.Parâmetros_Verm'!$G$7*'5.Mira'!$C$37*'6.Cibernético'!$E$24*'9.Simulação'!$K$14)+('7.Config'!$C$10*'4.Parâmetros_Verm'!$E$8*'4.Parâmetros_Verm'!$I$8*'4.Parâmetros_Verm'!$G$8*'5.Mira'!$D$37*'6.Cibernético'!$E$24*'9.Simulação'!$K$14)+('7.Config'!$C$11*'4.Parâmetros_Verm'!$E$9*'4.Parâmetros_Verm'!$I$9*'4.Parâmetros_Verm'!$G$9*'5.Mira'!$E$37*'6.Cibernético'!$E$24*'9.Simulação'!$K$14)+('7.Config'!$C$12*'4.Parâmetros_Verm'!$E$10*'4.Parâmetros_Verm'!$I$10*'4.Parâmetros_Verm'!$G$10*'5.Mira'!$F$37*'6.Cibernético'!$E$24*'9.Simulação'!$K$14)+('7.Config'!$C$12*'4.Parâmetros_Verm'!$E$11*'4.Parâmetros_Verm'!$I$11*'4.Parâmetros_Verm'!$G$11*'5.Mira'!$G$37*'6.Cibernético'!$E$24*'9.Simulação'!$K$14)+('7.Config'!$C$13*'4.Parâmetros_Verm'!$E$12*'4.Parâmetros_Verm'!$I$12*'4.Parâmetros_Verm'!$G$12*'5.Mira'!$H$37*'6.Cibernético'!$E$24*'9.Simulação'!$K$14)+('7.Config'!$C$13*'4.Parâmetros_Verm'!$E$13*'4.Parâmetros_Verm'!$I$13*'4.Parâmetros_Verm'!$G$13*'5.Mira'!$I$37*'6.Cibernético'!$E$24*'9.Simulação'!$K$14)</f>
        <v>0.59384976753140806</v>
      </c>
      <c r="K24" s="69">
        <f>('7.Config'!$C$10*'4.Parâmetros_Verm'!$E$7*'4.Parâmetros_Verm'!$I$7*'4.Parâmetros_Verm'!$G$7*'5.Mira'!$C$37*'6.Cibernético'!$E$24*'9.Simulação'!$K$15)+('7.Config'!$C$10*'4.Parâmetros_Verm'!$E$8*'4.Parâmetros_Verm'!$I$8*'4.Parâmetros_Verm'!$G$8*'5.Mira'!$D$37*'6.Cibernético'!$E$24*'9.Simulação'!$K$15)+('7.Config'!$C$11*'4.Parâmetros_Verm'!$E$9*'4.Parâmetros_Verm'!$I$9*'4.Parâmetros_Verm'!$G$9*'5.Mira'!$E$37*'6.Cibernético'!$E$24*'9.Simulação'!$K$15)+('7.Config'!$C$12*'4.Parâmetros_Verm'!$E$10*'4.Parâmetros_Verm'!$I$10*'4.Parâmetros_Verm'!$G$10*'5.Mira'!$F$37*'6.Cibernético'!$E$24*'9.Simulação'!$K$15)+('7.Config'!$C$12*'4.Parâmetros_Verm'!$E$11*'4.Parâmetros_Verm'!$I$11*'4.Parâmetros_Verm'!$G$11*'5.Mira'!$G$37*'6.Cibernético'!$E$24*'9.Simulação'!$K$15)+('7.Config'!$C$13*'4.Parâmetros_Verm'!$E$12*'4.Parâmetros_Verm'!$I$12*'4.Parâmetros_Verm'!$G$12*'5.Mira'!$H$37*'6.Cibernético'!$E$24*'9.Simulação'!$K$15)+('7.Config'!$C$13*'4.Parâmetros_Verm'!$E$13*'4.Parâmetros_Verm'!$I$13*'4.Parâmetros_Verm'!$G$13*'5.Mira'!$I$37*'6.Cibernético'!$E$24*'9.Simulação'!$K$15)</f>
        <v>0.58583298739416312</v>
      </c>
      <c r="L24" s="69">
        <f>('7.Config'!$C$10*'4.Parâmetros_Verm'!$E$7*'4.Parâmetros_Verm'!$I$7*'4.Parâmetros_Verm'!$G$7*'5.Mira'!$C$37*'6.Cibernético'!$E$24*'9.Simulação'!$K$16)+('7.Config'!$C$10*'4.Parâmetros_Verm'!$E$8*'4.Parâmetros_Verm'!$I$8*'4.Parâmetros_Verm'!$G$8*'5.Mira'!$D$37*'6.Cibernético'!$E$24*'9.Simulação'!$K$16)+('7.Config'!$C$11*'4.Parâmetros_Verm'!$E$9*'4.Parâmetros_Verm'!$I$9*'4.Parâmetros_Verm'!$G$9*'5.Mira'!$E$37*'6.Cibernético'!$E$24*'9.Simulação'!$K$16)+('7.Config'!$C$12*'4.Parâmetros_Verm'!$E$10*'4.Parâmetros_Verm'!$I$10*'4.Parâmetros_Verm'!$G$10*'5.Mira'!$F$37*'6.Cibernético'!$E$24*'9.Simulação'!$K$16)+('7.Config'!$C$12*'4.Parâmetros_Verm'!$E$11*'4.Parâmetros_Verm'!$I$11*'4.Parâmetros_Verm'!$G$11*'5.Mira'!$G$37*'6.Cibernético'!$E$24*'9.Simulação'!$K$16)+('7.Config'!$C$13*'4.Parâmetros_Verm'!$E$12*'4.Parâmetros_Verm'!$I$12*'4.Parâmetros_Verm'!$G$12*'5.Mira'!$H$37*'6.Cibernético'!$E$24*'9.Simulação'!$K$16)+('7.Config'!$C$13*'4.Parâmetros_Verm'!$E$13*'4.Parâmetros_Verm'!$I$13*'4.Parâmetros_Verm'!$G$13*'5.Mira'!$I$37*'6.Cibernético'!$E$24*'9.Simulação'!$K$16)</f>
        <v>0.57776245250831537</v>
      </c>
    </row>
    <row r="25" spans="1:12" x14ac:dyDescent="0.2">
      <c r="A25" s="68" t="s">
        <v>207</v>
      </c>
      <c r="B25" s="40" t="s">
        <v>83</v>
      </c>
      <c r="C25" s="69">
        <f>('7.Config'!$C$10*'4.Parâmetros_Verm'!$E$16*'4.Parâmetros_Verm'!$I$16*'4.Parâmetros_Verm'!$G$16*'5.Mira'!$C$38*'6.Cibernético'!$E$24*'9.Simulação'!$L$7)+('7.Config'!$C$10*'4.Parâmetros_Verm'!$E$17*'4.Parâmetros_Verm'!$I$17*'4.Parâmetros_Verm'!$G$17*'5.Mira'!$D$38*'6.Cibernético'!$E$24*'9.Simulação'!$L$7)+('7.Config'!$C$11*'4.Parâmetros_Verm'!$E$18*'4.Parâmetros_Verm'!$I$18*'4.Parâmetros_Verm'!$G$18*'5.Mira'!$E$38*'6.Cibernético'!$E$24*'9.Simulação'!$L$7)+('7.Config'!$C$12*'4.Parâmetros_Verm'!$E$19*'4.Parâmetros_Verm'!$I$19*'4.Parâmetros_Verm'!$G$19*'5.Mira'!$F$38*'6.Cibernético'!$E$24*'9.Simulação'!$L$7)+('7.Config'!$C$12*'4.Parâmetros_Verm'!$E$20*'4.Parâmetros_Verm'!$I$20*'4.Parâmetros_Verm'!$G$20*'5.Mira'!$G$38*'6.Cibernético'!$E$24*'9.Simulação'!$L$7)+('7.Config'!$C$13*'4.Parâmetros_Verm'!$E$21*'4.Parâmetros_Verm'!$I$21*'4.Parâmetros_Verm'!$G$21*'5.Mira'!$H$38*'6.Cibernético'!$E$24*'9.Simulação'!$L$7)+('7.Config'!$C$13*'4.Parâmetros_Verm'!$E$22*'4.Parâmetros_Verm'!$I$22*'4.Parâmetros_Verm'!$G$22*'5.Mira'!$I$38*'6.Cibernético'!$E$24*'9.Simulação'!$L$7)</f>
        <v>0.64851162186246847</v>
      </c>
      <c r="D25" s="69">
        <f>('7.Config'!$C$10*'4.Parâmetros_Verm'!$E$16*'4.Parâmetros_Verm'!$I$16*'4.Parâmetros_Verm'!$G$16*'5.Mira'!$C$38*'6.Cibernético'!$E$24*'9.Simulação'!$L$8)+('7.Config'!$C$10*'4.Parâmetros_Verm'!$E$17*'4.Parâmetros_Verm'!$I$17*'4.Parâmetros_Verm'!$G$17*'5.Mira'!$D$38*'6.Cibernético'!$E$24*'9.Simulação'!$L$8)+('7.Config'!$C$11*'4.Parâmetros_Verm'!$E$18*'4.Parâmetros_Verm'!$I$18*'4.Parâmetros_Verm'!$G$18*'5.Mira'!$E$38*'6.Cibernético'!$E$24*'9.Simulação'!$L$8)+('7.Config'!$C$12*'4.Parâmetros_Verm'!$E$19*'4.Parâmetros_Verm'!$I$19*'4.Parâmetros_Verm'!$G$19*'5.Mira'!$F$38*'6.Cibernético'!$E$24*'9.Simulação'!$L$8)+('7.Config'!$C$12*'4.Parâmetros_Verm'!$E$20*'4.Parâmetros_Verm'!$I$20*'4.Parâmetros_Verm'!$G$20*'5.Mira'!$G$38*'6.Cibernético'!$E$24*'9.Simulação'!$L$8)+('7.Config'!$C$13*'4.Parâmetros_Verm'!$E$21*'4.Parâmetros_Verm'!$I$21*'4.Parâmetros_Verm'!$G$21*'5.Mira'!$H$38*'6.Cibernético'!$E$24*'9.Simulação'!$L$8)+('7.Config'!$C$13*'4.Parâmetros_Verm'!$E$22*'4.Parâmetros_Verm'!$I$22*'4.Parâmetros_Verm'!$G$22*'5.Mira'!$I$38*'6.Cibernético'!$E$24*'9.Simulação'!$L$8)</f>
        <v>0.64085463227410022</v>
      </c>
      <c r="E25" s="69">
        <f>('7.Config'!$C$10*'4.Parâmetros_Verm'!$E$16*'4.Parâmetros_Verm'!$I$16*'4.Parâmetros_Verm'!$G$16*'5.Mira'!$C$38*'6.Cibernético'!$E$24*'9.Simulação'!$L$9)+('7.Config'!$C$10*'4.Parâmetros_Verm'!$E$17*'4.Parâmetros_Verm'!$I$17*'4.Parâmetros_Verm'!$G$17*'5.Mira'!$D$38*'6.Cibernético'!$E$24*'9.Simulação'!$L$9)+('7.Config'!$C$11*'4.Parâmetros_Verm'!$E$18*'4.Parâmetros_Verm'!$I$18*'4.Parâmetros_Verm'!$G$18*'5.Mira'!$E$38*'6.Cibernético'!$E$24*'9.Simulação'!$L$9)+('7.Config'!$C$12*'4.Parâmetros_Verm'!$E$19*'4.Parâmetros_Verm'!$I$19*'4.Parâmetros_Verm'!$G$19*'5.Mira'!$F$38*'6.Cibernético'!$E$24*'9.Simulação'!$L$9)+('7.Config'!$C$12*'4.Parâmetros_Verm'!$E$20*'4.Parâmetros_Verm'!$I$20*'4.Parâmetros_Verm'!$G$20*'5.Mira'!$G$38*'6.Cibernético'!$E$24*'9.Simulação'!$L$9)+('7.Config'!$C$13*'4.Parâmetros_Verm'!$E$21*'4.Parâmetros_Verm'!$I$21*'4.Parâmetros_Verm'!$G$21*'5.Mira'!$H$38*'6.Cibernético'!$E$24*'9.Simulação'!$L$9)+('7.Config'!$C$13*'4.Parâmetros_Verm'!$E$22*'4.Parâmetros_Verm'!$I$22*'4.Parâmetros_Verm'!$G$22*'5.Mira'!$I$38*'6.Cibernético'!$E$24*'9.Simulação'!$L$9)</f>
        <v>0.63314801002857579</v>
      </c>
      <c r="F25" s="69">
        <f>('7.Config'!$C$10*'4.Parâmetros_Verm'!$E$16*'4.Parâmetros_Verm'!$I$16*'4.Parâmetros_Verm'!$G$16*'5.Mira'!$C$38*'6.Cibernético'!$E$24*'9.Simulação'!$L$10)+('7.Config'!$C$10*'4.Parâmetros_Verm'!$E$17*'4.Parâmetros_Verm'!$I$17*'4.Parâmetros_Verm'!$G$17*'5.Mira'!$D$38*'6.Cibernético'!$E$24*'9.Simulação'!$L$10)+('7.Config'!$C$11*'4.Parâmetros_Verm'!$E$18*'4.Parâmetros_Verm'!$I$18*'4.Parâmetros_Verm'!$G$18*'5.Mira'!$E$38*'6.Cibernético'!$E$24*'9.Simulação'!$L$10)+('7.Config'!$C$12*'4.Parâmetros_Verm'!$E$19*'4.Parâmetros_Verm'!$I$19*'4.Parâmetros_Verm'!$G$19*'5.Mira'!$F$38*'6.Cibernético'!$E$24*'9.Simulação'!$L$10)+('7.Config'!$C$12*'4.Parâmetros_Verm'!$E$20*'4.Parâmetros_Verm'!$I$20*'4.Parâmetros_Verm'!$G$20*'5.Mira'!$G$38*'6.Cibernético'!$E$24*'9.Simulação'!$L$10)+('7.Config'!$C$13*'4.Parâmetros_Verm'!$E$21*'4.Parâmetros_Verm'!$I$21*'4.Parâmetros_Verm'!$G$21*'5.Mira'!$H$38*'6.Cibernético'!$E$24*'9.Simulação'!$L$10)+('7.Config'!$C$13*'4.Parâmetros_Verm'!$E$22*'4.Parâmetros_Verm'!$I$22*'4.Parâmetros_Verm'!$G$22*'5.Mira'!$I$38*'6.Cibernético'!$E$24*'9.Simulação'!$L$10)</f>
        <v>0.62539116858235466</v>
      </c>
      <c r="G25" s="69">
        <f>('7.Config'!$C$10*'4.Parâmetros_Verm'!$E$16*'4.Parâmetros_Verm'!$I$16*'4.Parâmetros_Verm'!$G$16*'5.Mira'!$C$38*'6.Cibernético'!$E$24*'9.Simulação'!$L$11)+('7.Config'!$C$10*'4.Parâmetros_Verm'!$E$17*'4.Parâmetros_Verm'!$I$17*'4.Parâmetros_Verm'!$G$17*'5.Mira'!$D$38*'6.Cibernético'!$E$24*'9.Simulação'!$L$11)+('7.Config'!$C$11*'4.Parâmetros_Verm'!$E$18*'4.Parâmetros_Verm'!$I$18*'4.Parâmetros_Verm'!$G$18*'5.Mira'!$E$38*'6.Cibernético'!$E$24*'9.Simulação'!$L$11)+('7.Config'!$C$12*'4.Parâmetros_Verm'!$E$19*'4.Parâmetros_Verm'!$I$19*'4.Parâmetros_Verm'!$G$19*'5.Mira'!$F$38*'6.Cibernético'!$E$24*'9.Simulação'!$L$11)+('7.Config'!$C$12*'4.Parâmetros_Verm'!$E$20*'4.Parâmetros_Verm'!$I$20*'4.Parâmetros_Verm'!$G$20*'5.Mira'!$G$38*'6.Cibernético'!$E$24*'9.Simulação'!$L$11)+('7.Config'!$C$13*'4.Parâmetros_Verm'!$E$21*'4.Parâmetros_Verm'!$I$21*'4.Parâmetros_Verm'!$G$21*'5.Mira'!$H$38*'6.Cibernético'!$E$24*'9.Simulação'!$L$11)+('7.Config'!$C$13*'4.Parâmetros_Verm'!$E$22*'4.Parâmetros_Verm'!$I$22*'4.Parâmetros_Verm'!$G$22*'5.Mira'!$I$38*'6.Cibernético'!$E$24*'9.Simulação'!$L$11)</f>
        <v>0.61758351323824712</v>
      </c>
      <c r="H25" s="69">
        <f>('7.Config'!$C$10*'4.Parâmetros_Verm'!$E$16*'4.Parâmetros_Verm'!$I$16*'4.Parâmetros_Verm'!$G$16*'5.Mira'!$C$38*'6.Cibernético'!$E$24*'9.Simulação'!$L$12)+('7.Config'!$C$10*'4.Parâmetros_Verm'!$E$17*'4.Parâmetros_Verm'!$I$17*'4.Parâmetros_Verm'!$G$17*'5.Mira'!$D$38*'6.Cibernético'!$E$24*'9.Simulação'!$L$12)+('7.Config'!$C$11*'4.Parâmetros_Verm'!$E$18*'4.Parâmetros_Verm'!$I$18*'4.Parâmetros_Verm'!$G$18*'5.Mira'!$E$38*'6.Cibernético'!$E$24*'9.Simulação'!$L$12)+('7.Config'!$C$12*'4.Parâmetros_Verm'!$E$19*'4.Parâmetros_Verm'!$I$19*'4.Parâmetros_Verm'!$G$19*'5.Mira'!$F$38*'6.Cibernético'!$E$24*'9.Simulação'!$L$12)+('7.Config'!$C$12*'4.Parâmetros_Verm'!$E$20*'4.Parâmetros_Verm'!$I$20*'4.Parâmetros_Verm'!$G$20*'5.Mira'!$G$38*'6.Cibernético'!$E$24*'9.Simulação'!$L$12)+('7.Config'!$C$13*'4.Parâmetros_Verm'!$E$21*'4.Parâmetros_Verm'!$I$21*'4.Parâmetros_Verm'!$G$21*'5.Mira'!$H$38*'6.Cibernético'!$E$24*'9.Simulação'!$L$12)+('7.Config'!$C$13*'4.Parâmetros_Verm'!$E$22*'4.Parâmetros_Verm'!$I$22*'4.Parâmetros_Verm'!$G$22*'5.Mira'!$I$38*'6.Cibernético'!$E$24*'9.Simulação'!$L$12)</f>
        <v>0.60972444503796208</v>
      </c>
      <c r="I25" s="69">
        <f>('7.Config'!$C$10*'4.Parâmetros_Verm'!$E$16*'4.Parâmetros_Verm'!$I$16*'4.Parâmetros_Verm'!$G$16*'5.Mira'!$C$38*'6.Cibernético'!$E$24*'9.Simulação'!$L$13)+('7.Config'!$C$10*'4.Parâmetros_Verm'!$E$17*'4.Parâmetros_Verm'!$I$17*'4.Parâmetros_Verm'!$G$17*'5.Mira'!$D$38*'6.Cibernético'!$E$24*'9.Simulação'!$L$13)+('7.Config'!$C$11*'4.Parâmetros_Verm'!$E$18*'4.Parâmetros_Verm'!$I$18*'4.Parâmetros_Verm'!$G$18*'5.Mira'!$E$38*'6.Cibernético'!$E$24*'9.Simulação'!$L$13)+('7.Config'!$C$12*'4.Parâmetros_Verm'!$E$19*'4.Parâmetros_Verm'!$I$19*'4.Parâmetros_Verm'!$G$19*'5.Mira'!$F$38*'6.Cibernético'!$E$24*'9.Simulação'!$L$13)+('7.Config'!$C$12*'4.Parâmetros_Verm'!$E$20*'4.Parâmetros_Verm'!$I$20*'4.Parâmetros_Verm'!$G$20*'5.Mira'!$G$38*'6.Cibernético'!$E$24*'9.Simulação'!$L$13)+('7.Config'!$C$13*'4.Parâmetros_Verm'!$E$21*'4.Parâmetros_Verm'!$I$21*'4.Parâmetros_Verm'!$G$21*'5.Mira'!$H$38*'6.Cibernético'!$E$24*'9.Simulação'!$L$13)+('7.Config'!$C$13*'4.Parâmetros_Verm'!$E$22*'4.Parâmetros_Verm'!$I$22*'4.Parâmetros_Verm'!$G$22*'5.Mira'!$I$38*'6.Cibernético'!$E$24*'9.Simulação'!$L$13)</f>
        <v>0.60181339029192482</v>
      </c>
      <c r="J25" s="69">
        <f>('7.Config'!$C$10*'4.Parâmetros_Verm'!$E$16*'4.Parâmetros_Verm'!$I$16*'4.Parâmetros_Verm'!$G$16*'5.Mira'!$C$38*'6.Cibernético'!$E$24*'9.Simulação'!$L$14)+('7.Config'!$C$10*'4.Parâmetros_Verm'!$E$17*'4.Parâmetros_Verm'!$I$17*'4.Parâmetros_Verm'!$G$17*'5.Mira'!$D$38*'6.Cibernético'!$E$24*'9.Simulação'!$L$14)+('7.Config'!$C$11*'4.Parâmetros_Verm'!$E$18*'4.Parâmetros_Verm'!$I$18*'4.Parâmetros_Verm'!$G$18*'5.Mira'!$E$38*'6.Cibernético'!$E$24*'9.Simulação'!$L$14)+('7.Config'!$C$12*'4.Parâmetros_Verm'!$E$19*'4.Parâmetros_Verm'!$I$19*'4.Parâmetros_Verm'!$G$19*'5.Mira'!$F$38*'6.Cibernético'!$E$24*'9.Simulação'!$L$14)+('7.Config'!$C$12*'4.Parâmetros_Verm'!$E$20*'4.Parâmetros_Verm'!$I$20*'4.Parâmetros_Verm'!$G$20*'5.Mira'!$G$38*'6.Cibernético'!$E$24*'9.Simulação'!$L$14)+('7.Config'!$C$13*'4.Parâmetros_Verm'!$E$21*'4.Parâmetros_Verm'!$I$21*'4.Parâmetros_Verm'!$G$21*'5.Mira'!$H$38*'6.Cibernético'!$E$24*'9.Simulação'!$L$14)+('7.Config'!$C$13*'4.Parâmetros_Verm'!$E$22*'4.Parâmetros_Verm'!$I$22*'4.Parâmetros_Verm'!$G$22*'5.Mira'!$I$38*'6.Cibernético'!$E$24*'9.Simulação'!$L$14)</f>
        <v>0.59384976753140806</v>
      </c>
      <c r="K25" s="69">
        <f>('7.Config'!$C$10*'4.Parâmetros_Verm'!$E$16*'4.Parâmetros_Verm'!$I$16*'4.Parâmetros_Verm'!$G$16*'5.Mira'!$C$38*'6.Cibernético'!$E$24*'9.Simulação'!$L$15)+('7.Config'!$C$10*'4.Parâmetros_Verm'!$E$17*'4.Parâmetros_Verm'!$I$17*'4.Parâmetros_Verm'!$G$17*'5.Mira'!$D$38*'6.Cibernético'!$E$24*'9.Simulação'!$L$15)+('7.Config'!$C$11*'4.Parâmetros_Verm'!$E$18*'4.Parâmetros_Verm'!$I$18*'4.Parâmetros_Verm'!$G$18*'5.Mira'!$E$38*'6.Cibernético'!$E$24*'9.Simulação'!$L$15)+('7.Config'!$C$12*'4.Parâmetros_Verm'!$E$19*'4.Parâmetros_Verm'!$I$19*'4.Parâmetros_Verm'!$G$19*'5.Mira'!$F$38*'6.Cibernético'!$E$24*'9.Simulação'!$L$15)+('7.Config'!$C$12*'4.Parâmetros_Verm'!$E$20*'4.Parâmetros_Verm'!$I$20*'4.Parâmetros_Verm'!$G$20*'5.Mira'!$G$38*'6.Cibernético'!$E$24*'9.Simulação'!$L$15)+('7.Config'!$C$13*'4.Parâmetros_Verm'!$E$21*'4.Parâmetros_Verm'!$I$21*'4.Parâmetros_Verm'!$G$21*'5.Mira'!$H$38*'6.Cibernético'!$E$24*'9.Simulação'!$L$15)+('7.Config'!$C$13*'4.Parâmetros_Verm'!$E$22*'4.Parâmetros_Verm'!$I$22*'4.Parâmetros_Verm'!$G$22*'5.Mira'!$I$38*'6.Cibernético'!$E$24*'9.Simulação'!$L$15)</f>
        <v>0.58583298739416312</v>
      </c>
      <c r="L25" s="69">
        <f>('7.Config'!$C$10*'4.Parâmetros_Verm'!$E$16*'4.Parâmetros_Verm'!$I$16*'4.Parâmetros_Verm'!$G$16*'5.Mira'!$C$38*'6.Cibernético'!$E$24*'9.Simulação'!$L$16)+('7.Config'!$C$10*'4.Parâmetros_Verm'!$E$17*'4.Parâmetros_Verm'!$I$17*'4.Parâmetros_Verm'!$G$17*'5.Mira'!$D$38*'6.Cibernético'!$E$24*'9.Simulação'!$L$16)+('7.Config'!$C$11*'4.Parâmetros_Verm'!$E$18*'4.Parâmetros_Verm'!$I$18*'4.Parâmetros_Verm'!$G$18*'5.Mira'!$E$38*'6.Cibernético'!$E$24*'9.Simulação'!$L$16)+('7.Config'!$C$12*'4.Parâmetros_Verm'!$E$19*'4.Parâmetros_Verm'!$I$19*'4.Parâmetros_Verm'!$G$19*'5.Mira'!$F$38*'6.Cibernético'!$E$24*'9.Simulação'!$L$16)+('7.Config'!$C$12*'4.Parâmetros_Verm'!$E$20*'4.Parâmetros_Verm'!$I$20*'4.Parâmetros_Verm'!$G$20*'5.Mira'!$G$38*'6.Cibernético'!$E$24*'9.Simulação'!$L$16)+('7.Config'!$C$13*'4.Parâmetros_Verm'!$E$21*'4.Parâmetros_Verm'!$I$21*'4.Parâmetros_Verm'!$G$21*'5.Mira'!$H$38*'6.Cibernético'!$E$24*'9.Simulação'!$L$16)+('7.Config'!$C$13*'4.Parâmetros_Verm'!$E$22*'4.Parâmetros_Verm'!$I$22*'4.Parâmetros_Verm'!$G$22*'5.Mira'!$I$38*'6.Cibernético'!$E$24*'9.Simulação'!$L$16)</f>
        <v>0.57776245250831537</v>
      </c>
    </row>
    <row r="26" spans="1:12" x14ac:dyDescent="0.2">
      <c r="A26" s="68" t="s">
        <v>207</v>
      </c>
      <c r="B26" s="40" t="s">
        <v>86</v>
      </c>
      <c r="C26" s="69">
        <f>('7.Config'!$E$10*'4.Parâmetros_Verm'!$E$25*'4.Parâmetros_Verm'!$I$25*'4.Parâmetros_Verm'!$G$25*'5.Mira'!$C$39*'6.Cibernético'!$E$24*'9.Simulação'!$M$7)+('7.Config'!$E$10*'4.Parâmetros_Verm'!$E$26*'4.Parâmetros_Verm'!$I$26*'4.Parâmetros_Verm'!$G$26*'5.Mira'!$D$39*'6.Cibernético'!$E$24*'9.Simulação'!$M$7)+('7.Config'!$E$11*'4.Parâmetros_Verm'!$E$27*'4.Parâmetros_Verm'!$I$27*'4.Parâmetros_Verm'!$G$27*'5.Mira'!$E$39*'6.Cibernético'!$E$24*'9.Simulação'!$M$7)+('7.Config'!$E$12*'4.Parâmetros_Verm'!$E$28*'4.Parâmetros_Verm'!$I$28*'4.Parâmetros_Verm'!$G$28*'5.Mira'!$F$39*'6.Cibernético'!$E$24*'9.Simulação'!$M$7)+('7.Config'!$E$12*'4.Parâmetros_Verm'!$E$29*'4.Parâmetros_Verm'!$I$29*'4.Parâmetros_Verm'!$G$29*'5.Mira'!$G$39*'6.Cibernético'!$E$24*'9.Simulação'!$M$7)+('7.Config'!$E$13*'4.Parâmetros_Verm'!$E$30*'4.Parâmetros_Verm'!$I$30*'4.Parâmetros_Verm'!$G$30*'5.Mira'!$H$39*'6.Cibernético'!$E$24*'9.Simulação'!$M$7)+('7.Config'!$E$13*'4.Parâmetros_Verm'!$E$31*'4.Parâmetros_Verm'!$I$31*'4.Parâmetros_Verm'!$G$31*'5.Mira'!$I$39*'6.Cibernético'!$E$24*'9.Simulação'!$M$7)</f>
        <v>1.6759252933313529</v>
      </c>
      <c r="D26" s="69">
        <f>('7.Config'!$E$10*'4.Parâmetros_Verm'!$E$25*'4.Parâmetros_Verm'!$I$25*'4.Parâmetros_Verm'!$G$25*'5.Mira'!$C$39*'6.Cibernético'!$E$24*'9.Simulação'!$M$8)+('7.Config'!$E$10*'4.Parâmetros_Verm'!$E$26*'4.Parâmetros_Verm'!$I$26*'4.Parâmetros_Verm'!$G$26*'5.Mira'!$D$39*'6.Cibernético'!$E$24*'9.Simulação'!$M$8)+('7.Config'!$E$11*'4.Parâmetros_Verm'!$E$27*'4.Parâmetros_Verm'!$I$27*'4.Parâmetros_Verm'!$G$27*'5.Mira'!$E$39*'6.Cibernético'!$E$24*'9.Simulação'!$M$8)+('7.Config'!$E$12*'4.Parâmetros_Verm'!$E$28*'4.Parâmetros_Verm'!$I$28*'4.Parâmetros_Verm'!$G$28*'5.Mira'!$F$39*'6.Cibernético'!$E$24*'9.Simulação'!$M$8)+('7.Config'!$E$12*'4.Parâmetros_Verm'!$E$29*'4.Parâmetros_Verm'!$I$29*'4.Parâmetros_Verm'!$G$29*'5.Mira'!$G$39*'6.Cibernético'!$E$24*'9.Simulação'!$M$8)+('7.Config'!$E$13*'4.Parâmetros_Verm'!$E$30*'4.Parâmetros_Verm'!$I$30*'4.Parâmetros_Verm'!$G$30*'5.Mira'!$H$39*'6.Cibernético'!$E$24*'9.Simulação'!$M$8)+('7.Config'!$E$13*'4.Parâmetros_Verm'!$E$31*'4.Parâmetros_Verm'!$I$31*'4.Parâmetros_Verm'!$G$31*'5.Mira'!$I$39*'6.Cibernético'!$E$24*'9.Simulação'!$M$8)</f>
        <v>1.6759252933313529</v>
      </c>
      <c r="E26" s="69">
        <f>('7.Config'!$E$10*'4.Parâmetros_Verm'!$E$25*'4.Parâmetros_Verm'!$I$25*'4.Parâmetros_Verm'!$G$25*'5.Mira'!$C$39*'6.Cibernético'!$E$24*'9.Simulação'!$M$9)+('7.Config'!$E$10*'4.Parâmetros_Verm'!$E$26*'4.Parâmetros_Verm'!$I$26*'4.Parâmetros_Verm'!$G$26*'5.Mira'!$D$39*'6.Cibernético'!$E$24*'9.Simulação'!$M$9)+('7.Config'!$E$11*'4.Parâmetros_Verm'!$E$27*'4.Parâmetros_Verm'!$I$27*'4.Parâmetros_Verm'!$G$27*'5.Mira'!$E$39*'6.Cibernético'!$E$24*'9.Simulação'!$M$9)+('7.Config'!$E$12*'4.Parâmetros_Verm'!$E$28*'4.Parâmetros_Verm'!$I$28*'4.Parâmetros_Verm'!$G$28*'5.Mira'!$F$39*'6.Cibernético'!$E$24*'9.Simulação'!$M$9)+('7.Config'!$E$12*'4.Parâmetros_Verm'!$E$29*'4.Parâmetros_Verm'!$I$29*'4.Parâmetros_Verm'!$G$29*'5.Mira'!$G$39*'6.Cibernético'!$E$24*'9.Simulação'!$M$9)+('7.Config'!$E$13*'4.Parâmetros_Verm'!$E$30*'4.Parâmetros_Verm'!$I$30*'4.Parâmetros_Verm'!$G$30*'5.Mira'!$H$39*'6.Cibernético'!$E$24*'9.Simulação'!$M$9)+('7.Config'!$E$13*'4.Parâmetros_Verm'!$E$31*'4.Parâmetros_Verm'!$I$31*'4.Parâmetros_Verm'!$G$31*'5.Mira'!$I$39*'6.Cibernético'!$E$24*'9.Simulação'!$M$9)</f>
        <v>1.6759252933313529</v>
      </c>
      <c r="F26" s="69">
        <f>('7.Config'!$E$10*'4.Parâmetros_Verm'!$E$25*'4.Parâmetros_Verm'!$I$25*'4.Parâmetros_Verm'!$G$25*'5.Mira'!$C$39*'6.Cibernético'!$E$24*'9.Simulação'!$M$10)+('7.Config'!$E$10*'4.Parâmetros_Verm'!$E$26*'4.Parâmetros_Verm'!$I$26*'4.Parâmetros_Verm'!$G$26*'5.Mira'!$D$39*'6.Cibernético'!$E$24*'9.Simulação'!$M$10)+('7.Config'!$E$11*'4.Parâmetros_Verm'!$E$27*'4.Parâmetros_Verm'!$I$27*'4.Parâmetros_Verm'!$G$27*'5.Mira'!$E$39*'6.Cibernético'!$E$24*'9.Simulação'!$M$10)+('7.Config'!$E$12*'4.Parâmetros_Verm'!$E$28*'4.Parâmetros_Verm'!$I$28*'4.Parâmetros_Verm'!$G$28*'5.Mira'!$F$39*'6.Cibernético'!$E$24*'9.Simulação'!$M$10)+('7.Config'!$E$12*'4.Parâmetros_Verm'!$E$29*'4.Parâmetros_Verm'!$I$29*'4.Parâmetros_Verm'!$G$29*'5.Mira'!$G$39*'6.Cibernético'!$E$24*'9.Simulação'!$M$10)+('7.Config'!$E$13*'4.Parâmetros_Verm'!$E$30*'4.Parâmetros_Verm'!$I$30*'4.Parâmetros_Verm'!$G$30*'5.Mira'!$H$39*'6.Cibernético'!$E$24*'9.Simulação'!$M$10)+('7.Config'!$E$13*'4.Parâmetros_Verm'!$E$31*'4.Parâmetros_Verm'!$I$31*'4.Parâmetros_Verm'!$G$31*'5.Mira'!$I$39*'6.Cibernético'!$E$24*'9.Simulação'!$M$10)</f>
        <v>1.6759252933313529</v>
      </c>
      <c r="G26" s="69">
        <f>('7.Config'!$E$10*'4.Parâmetros_Verm'!$E$25*'4.Parâmetros_Verm'!$I$25*'4.Parâmetros_Verm'!$G$25*'5.Mira'!$C$39*'6.Cibernético'!$E$24*'9.Simulação'!$M$11)+('7.Config'!$E$10*'4.Parâmetros_Verm'!$E$26*'4.Parâmetros_Verm'!$I$26*'4.Parâmetros_Verm'!$G$26*'5.Mira'!$D$39*'6.Cibernético'!$E$24*'9.Simulação'!$M$11)+('7.Config'!$E$11*'4.Parâmetros_Verm'!$E$27*'4.Parâmetros_Verm'!$I$27*'4.Parâmetros_Verm'!$G$27*'5.Mira'!$E$39*'6.Cibernético'!$E$24*'9.Simulação'!$M$11)+('7.Config'!$E$12*'4.Parâmetros_Verm'!$E$28*'4.Parâmetros_Verm'!$I$28*'4.Parâmetros_Verm'!$G$28*'5.Mira'!$F$39*'6.Cibernético'!$E$24*'9.Simulação'!$M$11)+('7.Config'!$E$12*'4.Parâmetros_Verm'!$E$29*'4.Parâmetros_Verm'!$I$29*'4.Parâmetros_Verm'!$G$29*'5.Mira'!$G$39*'6.Cibernético'!$E$24*'9.Simulação'!$M$11)+('7.Config'!$E$13*'4.Parâmetros_Verm'!$E$30*'4.Parâmetros_Verm'!$I$30*'4.Parâmetros_Verm'!$G$30*'5.Mira'!$H$39*'6.Cibernético'!$E$24*'9.Simulação'!$M$11)+('7.Config'!$E$13*'4.Parâmetros_Verm'!$E$31*'4.Parâmetros_Verm'!$I$31*'4.Parâmetros_Verm'!$G$31*'5.Mira'!$I$39*'6.Cibernético'!$E$24*'9.Simulação'!$M$11)</f>
        <v>1.6759252933313529</v>
      </c>
      <c r="H26" s="69">
        <f>('7.Config'!$E$10*'4.Parâmetros_Verm'!$E$25*'4.Parâmetros_Verm'!$I$25*'4.Parâmetros_Verm'!$G$25*'5.Mira'!$C$39*'6.Cibernético'!$E$24*'9.Simulação'!$M$12)+('7.Config'!$E$10*'4.Parâmetros_Verm'!$E$26*'4.Parâmetros_Verm'!$I$26*'4.Parâmetros_Verm'!$G$26*'5.Mira'!$D$39*'6.Cibernético'!$E$24*'9.Simulação'!$M$12)+('7.Config'!$E$11*'4.Parâmetros_Verm'!$E$27*'4.Parâmetros_Verm'!$I$27*'4.Parâmetros_Verm'!$G$27*'5.Mira'!$E$39*'6.Cibernético'!$E$24*'9.Simulação'!$M$12)+('7.Config'!$E$12*'4.Parâmetros_Verm'!$E$28*'4.Parâmetros_Verm'!$I$28*'4.Parâmetros_Verm'!$G$28*'5.Mira'!$F$39*'6.Cibernético'!$E$24*'9.Simulação'!$M$12)+('7.Config'!$E$12*'4.Parâmetros_Verm'!$E$29*'4.Parâmetros_Verm'!$I$29*'4.Parâmetros_Verm'!$G$29*'5.Mira'!$G$39*'6.Cibernético'!$E$24*'9.Simulação'!$M$12)+('7.Config'!$E$13*'4.Parâmetros_Verm'!$E$30*'4.Parâmetros_Verm'!$I$30*'4.Parâmetros_Verm'!$G$30*'5.Mira'!$H$39*'6.Cibernético'!$E$24*'9.Simulação'!$M$12)+('7.Config'!$E$13*'4.Parâmetros_Verm'!$E$31*'4.Parâmetros_Verm'!$I$31*'4.Parâmetros_Verm'!$G$31*'5.Mira'!$I$39*'6.Cibernético'!$E$24*'9.Simulação'!$M$12)</f>
        <v>1.6759252933313529</v>
      </c>
      <c r="I26" s="69">
        <f>('7.Config'!$E$10*'4.Parâmetros_Verm'!$E$25*'4.Parâmetros_Verm'!$I$25*'4.Parâmetros_Verm'!$G$25*'5.Mira'!$C$39*'6.Cibernético'!$E$24*'9.Simulação'!$M$13)+('7.Config'!$E$10*'4.Parâmetros_Verm'!$E$26*'4.Parâmetros_Verm'!$I$26*'4.Parâmetros_Verm'!$G$26*'5.Mira'!$D$39*'6.Cibernético'!$E$24*'9.Simulação'!$M$13)+('7.Config'!$E$11*'4.Parâmetros_Verm'!$E$27*'4.Parâmetros_Verm'!$I$27*'4.Parâmetros_Verm'!$G$27*'5.Mira'!$E$39*'6.Cibernético'!$E$24*'9.Simulação'!$M$13)+('7.Config'!$E$12*'4.Parâmetros_Verm'!$E$28*'4.Parâmetros_Verm'!$I$28*'4.Parâmetros_Verm'!$G$28*'5.Mira'!$F$39*'6.Cibernético'!$E$24*'9.Simulação'!$M$13)+('7.Config'!$E$12*'4.Parâmetros_Verm'!$E$29*'4.Parâmetros_Verm'!$I$29*'4.Parâmetros_Verm'!$G$29*'5.Mira'!$G$39*'6.Cibernético'!$E$24*'9.Simulação'!$M$13)+('7.Config'!$E$13*'4.Parâmetros_Verm'!$E$30*'4.Parâmetros_Verm'!$I$30*'4.Parâmetros_Verm'!$G$30*'5.Mira'!$H$39*'6.Cibernético'!$E$24*'9.Simulação'!$M$13)+('7.Config'!$E$13*'4.Parâmetros_Verm'!$E$31*'4.Parâmetros_Verm'!$I$31*'4.Parâmetros_Verm'!$G$31*'5.Mira'!$I$39*'6.Cibernético'!$E$24*'9.Simulação'!$M$13)</f>
        <v>1.6759252933313529</v>
      </c>
      <c r="J26" s="69">
        <f>('7.Config'!$E$10*'4.Parâmetros_Verm'!$E$25*'4.Parâmetros_Verm'!$I$25*'4.Parâmetros_Verm'!$G$25*'5.Mira'!$C$39*'6.Cibernético'!$E$24*'9.Simulação'!$M$14)+('7.Config'!$E$10*'4.Parâmetros_Verm'!$E$26*'4.Parâmetros_Verm'!$I$26*'4.Parâmetros_Verm'!$G$26*'5.Mira'!$D$39*'6.Cibernético'!$E$24*'9.Simulação'!$M$14)+('7.Config'!$E$11*'4.Parâmetros_Verm'!$E$27*'4.Parâmetros_Verm'!$I$27*'4.Parâmetros_Verm'!$G$27*'5.Mira'!$E$39*'6.Cibernético'!$E$24*'9.Simulação'!$M$14)+('7.Config'!$E$12*'4.Parâmetros_Verm'!$E$28*'4.Parâmetros_Verm'!$I$28*'4.Parâmetros_Verm'!$G$28*'5.Mira'!$F$39*'6.Cibernético'!$E$24*'9.Simulação'!$M$14)+('7.Config'!$E$12*'4.Parâmetros_Verm'!$E$29*'4.Parâmetros_Verm'!$I$29*'4.Parâmetros_Verm'!$G$29*'5.Mira'!$G$39*'6.Cibernético'!$E$24*'9.Simulação'!$M$14)+('7.Config'!$E$13*'4.Parâmetros_Verm'!$E$30*'4.Parâmetros_Verm'!$I$30*'4.Parâmetros_Verm'!$G$30*'5.Mira'!$H$39*'6.Cibernético'!$E$24*'9.Simulação'!$M$14)+('7.Config'!$E$13*'4.Parâmetros_Verm'!$E$31*'4.Parâmetros_Verm'!$I$31*'4.Parâmetros_Verm'!$G$31*'5.Mira'!$I$39*'6.Cibernético'!$E$24*'9.Simulação'!$M$14)</f>
        <v>1.6759252933313529</v>
      </c>
      <c r="K26" s="69">
        <f>('7.Config'!$E$10*'4.Parâmetros_Verm'!$E$25*'4.Parâmetros_Verm'!$I$25*'4.Parâmetros_Verm'!$G$25*'5.Mira'!$C$39*'6.Cibernético'!$E$24*'9.Simulação'!$M$15)+('7.Config'!$E$10*'4.Parâmetros_Verm'!$E$26*'4.Parâmetros_Verm'!$I$26*'4.Parâmetros_Verm'!$G$26*'5.Mira'!$D$39*'6.Cibernético'!$E$24*'9.Simulação'!$M$15)+('7.Config'!$E$11*'4.Parâmetros_Verm'!$E$27*'4.Parâmetros_Verm'!$I$27*'4.Parâmetros_Verm'!$G$27*'5.Mira'!$E$39*'6.Cibernético'!$E$24*'9.Simulação'!$M$15)+('7.Config'!$E$12*'4.Parâmetros_Verm'!$E$28*'4.Parâmetros_Verm'!$I$28*'4.Parâmetros_Verm'!$G$28*'5.Mira'!$F$39*'6.Cibernético'!$E$24*'9.Simulação'!$M$15)+('7.Config'!$E$12*'4.Parâmetros_Verm'!$E$29*'4.Parâmetros_Verm'!$I$29*'4.Parâmetros_Verm'!$G$29*'5.Mira'!$G$39*'6.Cibernético'!$E$24*'9.Simulação'!$M$15)+('7.Config'!$E$13*'4.Parâmetros_Verm'!$E$30*'4.Parâmetros_Verm'!$I$30*'4.Parâmetros_Verm'!$G$30*'5.Mira'!$H$39*'6.Cibernético'!$E$24*'9.Simulação'!$M$15)+('7.Config'!$E$13*'4.Parâmetros_Verm'!$E$31*'4.Parâmetros_Verm'!$I$31*'4.Parâmetros_Verm'!$G$31*'5.Mira'!$I$39*'6.Cibernético'!$E$24*'9.Simulação'!$M$15)</f>
        <v>1.6759252933313529</v>
      </c>
      <c r="L26" s="69">
        <f>('7.Config'!$E$10*'4.Parâmetros_Verm'!$E$25*'4.Parâmetros_Verm'!$I$25*'4.Parâmetros_Verm'!$G$25*'5.Mira'!$C$39*'6.Cibernético'!$E$24*'9.Simulação'!$M$16)+('7.Config'!$E$10*'4.Parâmetros_Verm'!$E$26*'4.Parâmetros_Verm'!$I$26*'4.Parâmetros_Verm'!$G$26*'5.Mira'!$D$39*'6.Cibernético'!$E$24*'9.Simulação'!$M$16)+('7.Config'!$E$11*'4.Parâmetros_Verm'!$E$27*'4.Parâmetros_Verm'!$I$27*'4.Parâmetros_Verm'!$G$27*'5.Mira'!$E$39*'6.Cibernético'!$E$24*'9.Simulação'!$M$16)+('7.Config'!$E$12*'4.Parâmetros_Verm'!$E$28*'4.Parâmetros_Verm'!$I$28*'4.Parâmetros_Verm'!$G$28*'5.Mira'!$F$39*'6.Cibernético'!$E$24*'9.Simulação'!$M$16)+('7.Config'!$E$12*'4.Parâmetros_Verm'!$E$29*'4.Parâmetros_Verm'!$I$29*'4.Parâmetros_Verm'!$G$29*'5.Mira'!$G$39*'6.Cibernético'!$E$24*'9.Simulação'!$M$16)+('7.Config'!$E$13*'4.Parâmetros_Verm'!$E$30*'4.Parâmetros_Verm'!$I$30*'4.Parâmetros_Verm'!$G$30*'5.Mira'!$H$39*'6.Cibernético'!$E$24*'9.Simulação'!$M$16)+('7.Config'!$E$13*'4.Parâmetros_Verm'!$E$31*'4.Parâmetros_Verm'!$I$31*'4.Parâmetros_Verm'!$G$31*'5.Mira'!$I$39*'6.Cibernético'!$E$24*'9.Simulação'!$M$16)</f>
        <v>1.6759252933313529</v>
      </c>
    </row>
    <row r="27" spans="1:12" x14ac:dyDescent="0.2">
      <c r="A27" s="68" t="s">
        <v>207</v>
      </c>
      <c r="B27" s="40" t="s">
        <v>89</v>
      </c>
      <c r="C27" s="69">
        <f>('7.Config'!$E$10*'4.Parâmetros_Verm'!$E$34*'4.Parâmetros_Verm'!$I$34*'4.Parâmetros_Verm'!$G$34*'5.Mira'!$C$40*'6.Cibernético'!$E$24*'9.Simulação'!$N$7)+('7.Config'!$E$10*'4.Parâmetros_Verm'!$E$35*'4.Parâmetros_Verm'!$I$35*'4.Parâmetros_Verm'!$G$35*'5.Mira'!$D$40*'6.Cibernético'!$E$24*'9.Simulação'!$N$7)+('7.Config'!$E$11*'4.Parâmetros_Verm'!$E$36*'4.Parâmetros_Verm'!$I$36*'4.Parâmetros_Verm'!$G$36*'5.Mira'!$E$40*'6.Cibernético'!$E$24*'9.Simulação'!$N$7)+('7.Config'!$E$12*'4.Parâmetros_Verm'!$E$37*'4.Parâmetros_Verm'!$I$37*'4.Parâmetros_Verm'!$G$37*'5.Mira'!$F$40*'6.Cibernético'!$E$24*'9.Simulação'!$N$7)+('7.Config'!$E$12*'4.Parâmetros_Verm'!$E$38*'4.Parâmetros_Verm'!$I$38*'4.Parâmetros_Verm'!$G$38*'5.Mira'!$G$40*'6.Cibernético'!$E$24*'9.Simulação'!$N$7)+('7.Config'!$E$13*'4.Parâmetros_Verm'!$E$39*'4.Parâmetros_Verm'!$I$39*'4.Parâmetros_Verm'!$G$39*'5.Mira'!$H$40*'6.Cibernético'!$E$24*'9.Simulação'!$N$7)+('7.Config'!$E$13*'4.Parâmetros_Verm'!$E$40*'4.Parâmetros_Verm'!$I$40*'4.Parâmetros_Verm'!$G$40*'5.Mira'!$I$40*'6.Cibernético'!$E$24*'9.Simulação'!$N$7)</f>
        <v>0.83796264666567644</v>
      </c>
      <c r="D27" s="69">
        <f>('7.Config'!$E$10*'4.Parâmetros_Verm'!$E$34*'4.Parâmetros_Verm'!$I$34*'4.Parâmetros_Verm'!$G$34*'5.Mira'!$C$40*'6.Cibernético'!$E$24*'9.Simulação'!$N$8)+('7.Config'!$E$10*'4.Parâmetros_Verm'!$E$35*'4.Parâmetros_Verm'!$I$35*'4.Parâmetros_Verm'!$G$35*'5.Mira'!$D$40*'6.Cibernético'!$E$24*'9.Simulação'!$N$8)+('7.Config'!$E$11*'4.Parâmetros_Verm'!$E$36*'4.Parâmetros_Verm'!$I$36*'4.Parâmetros_Verm'!$G$36*'5.Mira'!$E$40*'6.Cibernético'!$E$24*'9.Simulação'!$N$8)+('7.Config'!$E$12*'4.Parâmetros_Verm'!$E$37*'4.Parâmetros_Verm'!$I$37*'4.Parâmetros_Verm'!$G$37*'5.Mira'!$F$40*'6.Cibernético'!$E$24*'9.Simulação'!$N$8)+('7.Config'!$E$12*'4.Parâmetros_Verm'!$E$38*'4.Parâmetros_Verm'!$I$38*'4.Parâmetros_Verm'!$G$38*'5.Mira'!$G$40*'6.Cibernético'!$E$24*'9.Simulação'!$N$8)+('7.Config'!$E$13*'4.Parâmetros_Verm'!$E$39*'4.Parâmetros_Verm'!$I$39*'4.Parâmetros_Verm'!$G$39*'5.Mira'!$H$40*'6.Cibernético'!$E$24*'9.Simulação'!$N$8)+('7.Config'!$E$13*'4.Parâmetros_Verm'!$E$40*'4.Parâmetros_Verm'!$I$40*'4.Parâmetros_Verm'!$G$40*'5.Mira'!$I$40*'6.Cibernético'!$E$24*'9.Simulação'!$N$8)</f>
        <v>0.83796264666567644</v>
      </c>
      <c r="E27" s="69">
        <f>('7.Config'!$E$10*'4.Parâmetros_Verm'!$E$34*'4.Parâmetros_Verm'!$I$34*'4.Parâmetros_Verm'!$G$34*'5.Mira'!$C$40*'6.Cibernético'!$E$24*'9.Simulação'!$N$9)+('7.Config'!$E$10*'4.Parâmetros_Verm'!$E$35*'4.Parâmetros_Verm'!$I$35*'4.Parâmetros_Verm'!$G$35*'5.Mira'!$D$40*'6.Cibernético'!$E$24*'9.Simulação'!$N$9)+('7.Config'!$E$11*'4.Parâmetros_Verm'!$E$36*'4.Parâmetros_Verm'!$I$36*'4.Parâmetros_Verm'!$G$36*'5.Mira'!$E$40*'6.Cibernético'!$E$24*'9.Simulação'!$N$9)+('7.Config'!$E$12*'4.Parâmetros_Verm'!$E$37*'4.Parâmetros_Verm'!$I$37*'4.Parâmetros_Verm'!$G$37*'5.Mira'!$F$40*'6.Cibernético'!$E$24*'9.Simulação'!$N$9)+('7.Config'!$E$12*'4.Parâmetros_Verm'!$E$38*'4.Parâmetros_Verm'!$I$38*'4.Parâmetros_Verm'!$G$38*'5.Mira'!$G$40*'6.Cibernético'!$E$24*'9.Simulação'!$N$9)+('7.Config'!$E$13*'4.Parâmetros_Verm'!$E$39*'4.Parâmetros_Verm'!$I$39*'4.Parâmetros_Verm'!$G$39*'5.Mira'!$H$40*'6.Cibernético'!$E$24*'9.Simulação'!$N$9)+('7.Config'!$E$13*'4.Parâmetros_Verm'!$E$40*'4.Parâmetros_Verm'!$I$40*'4.Parâmetros_Verm'!$G$40*'5.Mira'!$I$40*'6.Cibernético'!$E$24*'9.Simulação'!$N$9)</f>
        <v>0.83796264666567644</v>
      </c>
      <c r="F27" s="69">
        <f>('7.Config'!$E$10*'4.Parâmetros_Verm'!$E$34*'4.Parâmetros_Verm'!$I$34*'4.Parâmetros_Verm'!$G$34*'5.Mira'!$C$40*'6.Cibernético'!$E$24*'9.Simulação'!$N$10)+('7.Config'!$E$10*'4.Parâmetros_Verm'!$E$35*'4.Parâmetros_Verm'!$I$35*'4.Parâmetros_Verm'!$G$35*'5.Mira'!$D$40*'6.Cibernético'!$E$24*'9.Simulação'!$N$10)+('7.Config'!$E$11*'4.Parâmetros_Verm'!$E$36*'4.Parâmetros_Verm'!$I$36*'4.Parâmetros_Verm'!$G$36*'5.Mira'!$E$40*'6.Cibernético'!$E$24*'9.Simulação'!$N$10)+('7.Config'!$E$12*'4.Parâmetros_Verm'!$E$37*'4.Parâmetros_Verm'!$I$37*'4.Parâmetros_Verm'!$G$37*'5.Mira'!$F$40*'6.Cibernético'!$E$24*'9.Simulação'!$N$10)+('7.Config'!$E$12*'4.Parâmetros_Verm'!$E$38*'4.Parâmetros_Verm'!$I$38*'4.Parâmetros_Verm'!$G$38*'5.Mira'!$G$40*'6.Cibernético'!$E$24*'9.Simulação'!$N$10)+('7.Config'!$E$13*'4.Parâmetros_Verm'!$E$39*'4.Parâmetros_Verm'!$I$39*'4.Parâmetros_Verm'!$G$39*'5.Mira'!$H$40*'6.Cibernético'!$E$24*'9.Simulação'!$N$10)+('7.Config'!$E$13*'4.Parâmetros_Verm'!$E$40*'4.Parâmetros_Verm'!$I$40*'4.Parâmetros_Verm'!$G$40*'5.Mira'!$I$40*'6.Cibernético'!$E$24*'9.Simulação'!$N$10)</f>
        <v>0.83796264666567644</v>
      </c>
      <c r="G27" s="69">
        <f>('7.Config'!$E$10*'4.Parâmetros_Verm'!$E$34*'4.Parâmetros_Verm'!$I$34*'4.Parâmetros_Verm'!$G$34*'5.Mira'!$C$40*'6.Cibernético'!$E$24*'9.Simulação'!$N$11)+('7.Config'!$E$10*'4.Parâmetros_Verm'!$E$35*'4.Parâmetros_Verm'!$I$35*'4.Parâmetros_Verm'!$G$35*'5.Mira'!$D$40*'6.Cibernético'!$E$24*'9.Simulação'!$N$11)+('7.Config'!$E$11*'4.Parâmetros_Verm'!$E$36*'4.Parâmetros_Verm'!$I$36*'4.Parâmetros_Verm'!$G$36*'5.Mira'!$E$40*'6.Cibernético'!$E$24*'9.Simulação'!$N$11)+('7.Config'!$E$12*'4.Parâmetros_Verm'!$E$37*'4.Parâmetros_Verm'!$I$37*'4.Parâmetros_Verm'!$G$37*'5.Mira'!$F$40*'6.Cibernético'!$E$24*'9.Simulação'!$N$11)+('7.Config'!$E$12*'4.Parâmetros_Verm'!$E$38*'4.Parâmetros_Verm'!$I$38*'4.Parâmetros_Verm'!$G$38*'5.Mira'!$G$40*'6.Cibernético'!$E$24*'9.Simulação'!$N$11)+('7.Config'!$E$13*'4.Parâmetros_Verm'!$E$39*'4.Parâmetros_Verm'!$I$39*'4.Parâmetros_Verm'!$G$39*'5.Mira'!$H$40*'6.Cibernético'!$E$24*'9.Simulação'!$N$11)+('7.Config'!$E$13*'4.Parâmetros_Verm'!$E$40*'4.Parâmetros_Verm'!$I$40*'4.Parâmetros_Verm'!$G$40*'5.Mira'!$I$40*'6.Cibernético'!$E$24*'9.Simulação'!$N$11)</f>
        <v>0.83796264666567644</v>
      </c>
      <c r="H27" s="69">
        <f>('7.Config'!$E$10*'4.Parâmetros_Verm'!$E$34*'4.Parâmetros_Verm'!$I$34*'4.Parâmetros_Verm'!$G$34*'5.Mira'!$C$40*'6.Cibernético'!$E$24*'9.Simulação'!$N$12)+('7.Config'!$E$10*'4.Parâmetros_Verm'!$E$35*'4.Parâmetros_Verm'!$I$35*'4.Parâmetros_Verm'!$G$35*'5.Mira'!$D$40*'6.Cibernético'!$E$24*'9.Simulação'!$N$12)+('7.Config'!$E$11*'4.Parâmetros_Verm'!$E$36*'4.Parâmetros_Verm'!$I$36*'4.Parâmetros_Verm'!$G$36*'5.Mira'!$E$40*'6.Cibernético'!$E$24*'9.Simulação'!$N$12)+('7.Config'!$E$12*'4.Parâmetros_Verm'!$E$37*'4.Parâmetros_Verm'!$I$37*'4.Parâmetros_Verm'!$G$37*'5.Mira'!$F$40*'6.Cibernético'!$E$24*'9.Simulação'!$N$12)+('7.Config'!$E$12*'4.Parâmetros_Verm'!$E$38*'4.Parâmetros_Verm'!$I$38*'4.Parâmetros_Verm'!$G$38*'5.Mira'!$G$40*'6.Cibernético'!$E$24*'9.Simulação'!$N$12)+('7.Config'!$E$13*'4.Parâmetros_Verm'!$E$39*'4.Parâmetros_Verm'!$I$39*'4.Parâmetros_Verm'!$G$39*'5.Mira'!$H$40*'6.Cibernético'!$E$24*'9.Simulação'!$N$12)+('7.Config'!$E$13*'4.Parâmetros_Verm'!$E$40*'4.Parâmetros_Verm'!$I$40*'4.Parâmetros_Verm'!$G$40*'5.Mira'!$I$40*'6.Cibernético'!$E$24*'9.Simulação'!$N$12)</f>
        <v>0.83796264666567644</v>
      </c>
      <c r="I27" s="69">
        <f>('7.Config'!$E$10*'4.Parâmetros_Verm'!$E$34*'4.Parâmetros_Verm'!$I$34*'4.Parâmetros_Verm'!$G$34*'5.Mira'!$C$40*'6.Cibernético'!$E$24*'9.Simulação'!$N$13)+('7.Config'!$E$10*'4.Parâmetros_Verm'!$E$35*'4.Parâmetros_Verm'!$I$35*'4.Parâmetros_Verm'!$G$35*'5.Mira'!$D$40*'6.Cibernético'!$E$24*'9.Simulação'!$N$13)+('7.Config'!$E$11*'4.Parâmetros_Verm'!$E$36*'4.Parâmetros_Verm'!$I$36*'4.Parâmetros_Verm'!$G$36*'5.Mira'!$E$40*'6.Cibernético'!$E$24*'9.Simulação'!$N$13)+('7.Config'!$E$12*'4.Parâmetros_Verm'!$E$37*'4.Parâmetros_Verm'!$I$37*'4.Parâmetros_Verm'!$G$37*'5.Mira'!$F$40*'6.Cibernético'!$E$24*'9.Simulação'!$N$13)+('7.Config'!$E$12*'4.Parâmetros_Verm'!$E$38*'4.Parâmetros_Verm'!$I$38*'4.Parâmetros_Verm'!$G$38*'5.Mira'!$G$40*'6.Cibernético'!$E$24*'9.Simulação'!$N$13)+('7.Config'!$E$13*'4.Parâmetros_Verm'!$E$39*'4.Parâmetros_Verm'!$I$39*'4.Parâmetros_Verm'!$G$39*'5.Mira'!$H$40*'6.Cibernético'!$E$24*'9.Simulação'!$N$13)+('7.Config'!$E$13*'4.Parâmetros_Verm'!$E$40*'4.Parâmetros_Verm'!$I$40*'4.Parâmetros_Verm'!$G$40*'5.Mira'!$I$40*'6.Cibernético'!$E$24*'9.Simulação'!$N$13)</f>
        <v>0.83796264666567644</v>
      </c>
      <c r="J27" s="69">
        <f>('7.Config'!$E$10*'4.Parâmetros_Verm'!$E$34*'4.Parâmetros_Verm'!$I$34*'4.Parâmetros_Verm'!$G$34*'5.Mira'!$C$40*'6.Cibernético'!$E$24*'9.Simulação'!$N$14)+('7.Config'!$E$10*'4.Parâmetros_Verm'!$E$35*'4.Parâmetros_Verm'!$I$35*'4.Parâmetros_Verm'!$G$35*'5.Mira'!$D$40*'6.Cibernético'!$E$24*'9.Simulação'!$N$14)+('7.Config'!$E$11*'4.Parâmetros_Verm'!$E$36*'4.Parâmetros_Verm'!$I$36*'4.Parâmetros_Verm'!$G$36*'5.Mira'!$E$40*'6.Cibernético'!$E$24*'9.Simulação'!$N$14)+('7.Config'!$E$12*'4.Parâmetros_Verm'!$E$37*'4.Parâmetros_Verm'!$I$37*'4.Parâmetros_Verm'!$G$37*'5.Mira'!$F$40*'6.Cibernético'!$E$24*'9.Simulação'!$N$14)+('7.Config'!$E$12*'4.Parâmetros_Verm'!$E$38*'4.Parâmetros_Verm'!$I$38*'4.Parâmetros_Verm'!$G$38*'5.Mira'!$G$40*'6.Cibernético'!$E$24*'9.Simulação'!$N$14)+('7.Config'!$E$13*'4.Parâmetros_Verm'!$E$39*'4.Parâmetros_Verm'!$I$39*'4.Parâmetros_Verm'!$G$39*'5.Mira'!$H$40*'6.Cibernético'!$E$24*'9.Simulação'!$N$14)+('7.Config'!$E$13*'4.Parâmetros_Verm'!$E$40*'4.Parâmetros_Verm'!$I$40*'4.Parâmetros_Verm'!$G$40*'5.Mira'!$I$40*'6.Cibernético'!$E$24*'9.Simulação'!$N$14)</f>
        <v>0.83796264666567644</v>
      </c>
      <c r="K27" s="69">
        <f>('7.Config'!$E$10*'4.Parâmetros_Verm'!$E$34*'4.Parâmetros_Verm'!$I$34*'4.Parâmetros_Verm'!$G$34*'5.Mira'!$C$40*'6.Cibernético'!$E$24*'9.Simulação'!$N$15)+('7.Config'!$E$10*'4.Parâmetros_Verm'!$E$35*'4.Parâmetros_Verm'!$I$35*'4.Parâmetros_Verm'!$G$35*'5.Mira'!$D$40*'6.Cibernético'!$E$24*'9.Simulação'!$N$15)+('7.Config'!$E$11*'4.Parâmetros_Verm'!$E$36*'4.Parâmetros_Verm'!$I$36*'4.Parâmetros_Verm'!$G$36*'5.Mira'!$E$40*'6.Cibernético'!$E$24*'9.Simulação'!$N$15)+('7.Config'!$E$12*'4.Parâmetros_Verm'!$E$37*'4.Parâmetros_Verm'!$I$37*'4.Parâmetros_Verm'!$G$37*'5.Mira'!$F$40*'6.Cibernético'!$E$24*'9.Simulação'!$N$15)+('7.Config'!$E$12*'4.Parâmetros_Verm'!$E$38*'4.Parâmetros_Verm'!$I$38*'4.Parâmetros_Verm'!$G$38*'5.Mira'!$G$40*'6.Cibernético'!$E$24*'9.Simulação'!$N$15)+('7.Config'!$E$13*'4.Parâmetros_Verm'!$E$39*'4.Parâmetros_Verm'!$I$39*'4.Parâmetros_Verm'!$G$39*'5.Mira'!$H$40*'6.Cibernético'!$E$24*'9.Simulação'!$N$15)+('7.Config'!$E$13*'4.Parâmetros_Verm'!$E$40*'4.Parâmetros_Verm'!$I$40*'4.Parâmetros_Verm'!$G$40*'5.Mira'!$I$40*'6.Cibernético'!$E$24*'9.Simulação'!$N$15)</f>
        <v>0.83796264666567644</v>
      </c>
      <c r="L27" s="69">
        <f>('7.Config'!$E$10*'4.Parâmetros_Verm'!$E$34*'4.Parâmetros_Verm'!$I$34*'4.Parâmetros_Verm'!$G$34*'5.Mira'!$C$40*'6.Cibernético'!$E$24*'9.Simulação'!$N$16)+('7.Config'!$E$10*'4.Parâmetros_Verm'!$E$35*'4.Parâmetros_Verm'!$I$35*'4.Parâmetros_Verm'!$G$35*'5.Mira'!$D$40*'6.Cibernético'!$E$24*'9.Simulação'!$N$16)+('7.Config'!$E$11*'4.Parâmetros_Verm'!$E$36*'4.Parâmetros_Verm'!$I$36*'4.Parâmetros_Verm'!$G$36*'5.Mira'!$E$40*'6.Cibernético'!$E$24*'9.Simulação'!$N$16)+('7.Config'!$E$12*'4.Parâmetros_Verm'!$E$37*'4.Parâmetros_Verm'!$I$37*'4.Parâmetros_Verm'!$G$37*'5.Mira'!$F$40*'6.Cibernético'!$E$24*'9.Simulação'!$N$16)+('7.Config'!$E$12*'4.Parâmetros_Verm'!$E$38*'4.Parâmetros_Verm'!$I$38*'4.Parâmetros_Verm'!$G$38*'5.Mira'!$G$40*'6.Cibernético'!$E$24*'9.Simulação'!$N$16)+('7.Config'!$E$13*'4.Parâmetros_Verm'!$E$39*'4.Parâmetros_Verm'!$I$39*'4.Parâmetros_Verm'!$G$39*'5.Mira'!$H$40*'6.Cibernético'!$E$24*'9.Simulação'!$N$16)+('7.Config'!$E$13*'4.Parâmetros_Verm'!$E$40*'4.Parâmetros_Verm'!$I$40*'4.Parâmetros_Verm'!$G$40*'5.Mira'!$I$40*'6.Cibernético'!$E$24*'9.Simulação'!$N$16)</f>
        <v>0.83796264666567644</v>
      </c>
    </row>
    <row r="28" spans="1:12" x14ac:dyDescent="0.2">
      <c r="A28" s="68" t="s">
        <v>207</v>
      </c>
      <c r="B28" s="40" t="s">
        <v>91</v>
      </c>
      <c r="C28" s="69">
        <f>('7.Config'!$E$10*'4.Parâmetros_Verm'!$E$43*'4.Parâmetros_Verm'!$I$43*'4.Parâmetros_Verm'!$G$43*'5.Mira'!$C$41*'6.Cibernético'!$E$24*'9.Simulação'!$O$7)+('7.Config'!$E$10*'4.Parâmetros_Verm'!$E$44*'4.Parâmetros_Verm'!$I$44*'4.Parâmetros_Verm'!$G$44*'5.Mira'!$D$41*'6.Cibernético'!$E$24*'9.Simulação'!$O$7)+('7.Config'!$E$11*'4.Parâmetros_Verm'!$E$45*'4.Parâmetros_Verm'!$I$45*'4.Parâmetros_Verm'!$G$45*'5.Mira'!$E$41*'6.Cibernético'!$E$24*'9.Simulação'!$O$7)+('7.Config'!$E$12*'4.Parâmetros_Verm'!$E$46*'4.Parâmetros_Verm'!$I$46*'4.Parâmetros_Verm'!$G$46*'5.Mira'!$F$41*'6.Cibernético'!$E$24*'9.Simulação'!$O$7)+('7.Config'!$E$12*'4.Parâmetros_Verm'!$E$47*'4.Parâmetros_Verm'!$I$47*'4.Parâmetros_Verm'!$G$47*'5.Mira'!$G$41*'6.Cibernético'!$E$24*'9.Simulação'!$O$7)+('7.Config'!$E$13*'4.Parâmetros_Verm'!$E$48*'4.Parâmetros_Verm'!$I$48*'4.Parâmetros_Verm'!$G$48*'5.Mira'!$H$41*'6.Cibernético'!$E$24*'9.Simulação'!$O$7)+('7.Config'!$E$13*'4.Parâmetros_Verm'!$E$49*'4.Parâmetros_Verm'!$I$49*'4.Parâmetros_Verm'!$G$49*'5.Mira'!$I$41*'6.Cibernético'!$E$24*'9.Simulação'!$O$7)</f>
        <v>0.55864176444378444</v>
      </c>
      <c r="D28" s="69">
        <f>('7.Config'!$E$10*'4.Parâmetros_Verm'!$E$43*'4.Parâmetros_Verm'!$I$43*'4.Parâmetros_Verm'!$G$43*'5.Mira'!$C$41*'6.Cibernético'!$E$24*'9.Simulação'!$O$8)+('7.Config'!$E$10*'4.Parâmetros_Verm'!$E$44*'4.Parâmetros_Verm'!$I$44*'4.Parâmetros_Verm'!$G$44*'5.Mira'!$D$41*'6.Cibernético'!$E$24*'9.Simulação'!$O$8)+('7.Config'!$E$11*'4.Parâmetros_Verm'!$E$45*'4.Parâmetros_Verm'!$I$45*'4.Parâmetros_Verm'!$G$45*'5.Mira'!$E$41*'6.Cibernético'!$E$24*'9.Simulação'!$O$8)+('7.Config'!$E$12*'4.Parâmetros_Verm'!$E$46*'4.Parâmetros_Verm'!$I$46*'4.Parâmetros_Verm'!$G$46*'5.Mira'!$F$41*'6.Cibernético'!$E$24*'9.Simulação'!$O$8)+('7.Config'!$E$12*'4.Parâmetros_Verm'!$E$47*'4.Parâmetros_Verm'!$I$47*'4.Parâmetros_Verm'!$G$47*'5.Mira'!$G$41*'6.Cibernético'!$E$24*'9.Simulação'!$O$8)+('7.Config'!$E$13*'4.Parâmetros_Verm'!$E$48*'4.Parâmetros_Verm'!$I$48*'4.Parâmetros_Verm'!$G$48*'5.Mira'!$H$41*'6.Cibernético'!$E$24*'9.Simulação'!$O$8)+('7.Config'!$E$13*'4.Parâmetros_Verm'!$E$49*'4.Parâmetros_Verm'!$I$49*'4.Parâmetros_Verm'!$G$49*'5.Mira'!$I$41*'6.Cibernético'!$E$24*'9.Simulação'!$O$8)</f>
        <v>0.55864176444378444</v>
      </c>
      <c r="E28" s="69">
        <f>('7.Config'!$E$10*'4.Parâmetros_Verm'!$E$43*'4.Parâmetros_Verm'!$I$43*'4.Parâmetros_Verm'!$G$43*'5.Mira'!$C$41*'6.Cibernético'!$E$24*'9.Simulação'!$O$9)+('7.Config'!$E$10*'4.Parâmetros_Verm'!$E$44*'4.Parâmetros_Verm'!$I$44*'4.Parâmetros_Verm'!$G$44*'5.Mira'!$D$41*'6.Cibernético'!$E$24*'9.Simulação'!$O$9)+('7.Config'!$E$11*'4.Parâmetros_Verm'!$E$45*'4.Parâmetros_Verm'!$I$45*'4.Parâmetros_Verm'!$G$45*'5.Mira'!$E$41*'6.Cibernético'!$E$24*'9.Simulação'!$O$9)+('7.Config'!$E$12*'4.Parâmetros_Verm'!$E$46*'4.Parâmetros_Verm'!$I$46*'4.Parâmetros_Verm'!$G$46*'5.Mira'!$F$41*'6.Cibernético'!$E$24*'9.Simulação'!$O$9)+('7.Config'!$E$12*'4.Parâmetros_Verm'!$E$47*'4.Parâmetros_Verm'!$I$47*'4.Parâmetros_Verm'!$G$47*'5.Mira'!$G$41*'6.Cibernético'!$E$24*'9.Simulação'!$O$9)+('7.Config'!$E$13*'4.Parâmetros_Verm'!$E$48*'4.Parâmetros_Verm'!$I$48*'4.Parâmetros_Verm'!$G$48*'5.Mira'!$H$41*'6.Cibernético'!$E$24*'9.Simulação'!$O$9)+('7.Config'!$E$13*'4.Parâmetros_Verm'!$E$49*'4.Parâmetros_Verm'!$I$49*'4.Parâmetros_Verm'!$G$49*'5.Mira'!$I$41*'6.Cibernético'!$E$24*'9.Simulação'!$O$9)</f>
        <v>0.55864176444378444</v>
      </c>
      <c r="F28" s="69">
        <f>('7.Config'!$E$10*'4.Parâmetros_Verm'!$E$43*'4.Parâmetros_Verm'!$I$43*'4.Parâmetros_Verm'!$G$43*'5.Mira'!$C$41*'6.Cibernético'!$E$24*'9.Simulação'!$O$10)+('7.Config'!$E$10*'4.Parâmetros_Verm'!$E$44*'4.Parâmetros_Verm'!$I$44*'4.Parâmetros_Verm'!$G$44*'5.Mira'!$D$41*'6.Cibernético'!$E$24*'9.Simulação'!$O$10)+('7.Config'!$E$11*'4.Parâmetros_Verm'!$E$45*'4.Parâmetros_Verm'!$I$45*'4.Parâmetros_Verm'!$G$45*'5.Mira'!$E$41*'6.Cibernético'!$E$24*'9.Simulação'!$O$10)+('7.Config'!$E$12*'4.Parâmetros_Verm'!$E$46*'4.Parâmetros_Verm'!$I$46*'4.Parâmetros_Verm'!$G$46*'5.Mira'!$F$41*'6.Cibernético'!$E$24*'9.Simulação'!$O$10)+('7.Config'!$E$12*'4.Parâmetros_Verm'!$E$47*'4.Parâmetros_Verm'!$I$47*'4.Parâmetros_Verm'!$G$47*'5.Mira'!$G$41*'6.Cibernético'!$E$24*'9.Simulação'!$O$10)+('7.Config'!$E$13*'4.Parâmetros_Verm'!$E$48*'4.Parâmetros_Verm'!$I$48*'4.Parâmetros_Verm'!$G$48*'5.Mira'!$H$41*'6.Cibernético'!$E$24*'9.Simulação'!$O$10)+('7.Config'!$E$13*'4.Parâmetros_Verm'!$E$49*'4.Parâmetros_Verm'!$I$49*'4.Parâmetros_Verm'!$G$49*'5.Mira'!$I$41*'6.Cibernético'!$E$24*'9.Simulação'!$O$10)</f>
        <v>0.55864176444378444</v>
      </c>
      <c r="G28" s="69">
        <f>('7.Config'!$E$10*'4.Parâmetros_Verm'!$E$43*'4.Parâmetros_Verm'!$I$43*'4.Parâmetros_Verm'!$G$43*'5.Mira'!$C$41*'6.Cibernético'!$E$24*'9.Simulação'!$O$11)+('7.Config'!$E$10*'4.Parâmetros_Verm'!$E$44*'4.Parâmetros_Verm'!$I$44*'4.Parâmetros_Verm'!$G$44*'5.Mira'!$D$41*'6.Cibernético'!$E$24*'9.Simulação'!$O$11)+('7.Config'!$E$11*'4.Parâmetros_Verm'!$E$45*'4.Parâmetros_Verm'!$I$45*'4.Parâmetros_Verm'!$G$45*'5.Mira'!$E$41*'6.Cibernético'!$E$24*'9.Simulação'!$O$11)+('7.Config'!$E$12*'4.Parâmetros_Verm'!$E$46*'4.Parâmetros_Verm'!$I$46*'4.Parâmetros_Verm'!$G$46*'5.Mira'!$F$41*'6.Cibernético'!$E$24*'9.Simulação'!$O$11)+('7.Config'!$E$12*'4.Parâmetros_Verm'!$E$47*'4.Parâmetros_Verm'!$I$47*'4.Parâmetros_Verm'!$G$47*'5.Mira'!$G$41*'6.Cibernético'!$E$24*'9.Simulação'!$O$11)+('7.Config'!$E$13*'4.Parâmetros_Verm'!$E$48*'4.Parâmetros_Verm'!$I$48*'4.Parâmetros_Verm'!$G$48*'5.Mira'!$H$41*'6.Cibernético'!$E$24*'9.Simulação'!$O$11)+('7.Config'!$E$13*'4.Parâmetros_Verm'!$E$49*'4.Parâmetros_Verm'!$I$49*'4.Parâmetros_Verm'!$G$49*'5.Mira'!$I$41*'6.Cibernético'!$E$24*'9.Simulação'!$O$11)</f>
        <v>0.55864176444378444</v>
      </c>
      <c r="H28" s="69">
        <f>('7.Config'!$E$10*'4.Parâmetros_Verm'!$E$43*'4.Parâmetros_Verm'!$I$43*'4.Parâmetros_Verm'!$G$43*'5.Mira'!$C$41*'6.Cibernético'!$E$24*'9.Simulação'!$O$12)+('7.Config'!$E$10*'4.Parâmetros_Verm'!$E$44*'4.Parâmetros_Verm'!$I$44*'4.Parâmetros_Verm'!$G$44*'5.Mira'!$D$41*'6.Cibernético'!$E$24*'9.Simulação'!$O$12)+('7.Config'!$E$11*'4.Parâmetros_Verm'!$E$45*'4.Parâmetros_Verm'!$I$45*'4.Parâmetros_Verm'!$G$45*'5.Mira'!$E$41*'6.Cibernético'!$E$24*'9.Simulação'!$O$12)+('7.Config'!$E$12*'4.Parâmetros_Verm'!$E$46*'4.Parâmetros_Verm'!$I$46*'4.Parâmetros_Verm'!$G$46*'5.Mira'!$F$41*'6.Cibernético'!$E$24*'9.Simulação'!$O$12)+('7.Config'!$E$12*'4.Parâmetros_Verm'!$E$47*'4.Parâmetros_Verm'!$I$47*'4.Parâmetros_Verm'!$G$47*'5.Mira'!$G$41*'6.Cibernético'!$E$24*'9.Simulação'!$O$12)+('7.Config'!$E$13*'4.Parâmetros_Verm'!$E$48*'4.Parâmetros_Verm'!$I$48*'4.Parâmetros_Verm'!$G$48*'5.Mira'!$H$41*'6.Cibernético'!$E$24*'9.Simulação'!$O$12)+('7.Config'!$E$13*'4.Parâmetros_Verm'!$E$49*'4.Parâmetros_Verm'!$I$49*'4.Parâmetros_Verm'!$G$49*'5.Mira'!$I$41*'6.Cibernético'!$E$24*'9.Simulação'!$O$12)</f>
        <v>0.55864176444378444</v>
      </c>
      <c r="I28" s="69">
        <f>('7.Config'!$E$10*'4.Parâmetros_Verm'!$E$43*'4.Parâmetros_Verm'!$I$43*'4.Parâmetros_Verm'!$G$43*'5.Mira'!$C$41*'6.Cibernético'!$E$24*'9.Simulação'!$O$13)+('7.Config'!$E$10*'4.Parâmetros_Verm'!$E$44*'4.Parâmetros_Verm'!$I$44*'4.Parâmetros_Verm'!$G$44*'5.Mira'!$D$41*'6.Cibernético'!$E$24*'9.Simulação'!$O$13)+('7.Config'!$E$11*'4.Parâmetros_Verm'!$E$45*'4.Parâmetros_Verm'!$I$45*'4.Parâmetros_Verm'!$G$45*'5.Mira'!$E$41*'6.Cibernético'!$E$24*'9.Simulação'!$O$13)+('7.Config'!$E$12*'4.Parâmetros_Verm'!$E$46*'4.Parâmetros_Verm'!$I$46*'4.Parâmetros_Verm'!$G$46*'5.Mira'!$F$41*'6.Cibernético'!$E$24*'9.Simulação'!$O$13)+('7.Config'!$E$12*'4.Parâmetros_Verm'!$E$47*'4.Parâmetros_Verm'!$I$47*'4.Parâmetros_Verm'!$G$47*'5.Mira'!$G$41*'6.Cibernético'!$E$24*'9.Simulação'!$O$13)+('7.Config'!$E$13*'4.Parâmetros_Verm'!$E$48*'4.Parâmetros_Verm'!$I$48*'4.Parâmetros_Verm'!$G$48*'5.Mira'!$H$41*'6.Cibernético'!$E$24*'9.Simulação'!$O$13)+('7.Config'!$E$13*'4.Parâmetros_Verm'!$E$49*'4.Parâmetros_Verm'!$I$49*'4.Parâmetros_Verm'!$G$49*'5.Mira'!$I$41*'6.Cibernético'!$E$24*'9.Simulação'!$O$13)</f>
        <v>0.55864176444378444</v>
      </c>
      <c r="J28" s="69">
        <f>('7.Config'!$E$10*'4.Parâmetros_Verm'!$E$43*'4.Parâmetros_Verm'!$I$43*'4.Parâmetros_Verm'!$G$43*'5.Mira'!$C$41*'6.Cibernético'!$E$24*'9.Simulação'!$O$14)+('7.Config'!$E$10*'4.Parâmetros_Verm'!$E$44*'4.Parâmetros_Verm'!$I$44*'4.Parâmetros_Verm'!$G$44*'5.Mira'!$D$41*'6.Cibernético'!$E$24*'9.Simulação'!$O$14)+('7.Config'!$E$11*'4.Parâmetros_Verm'!$E$45*'4.Parâmetros_Verm'!$I$45*'4.Parâmetros_Verm'!$G$45*'5.Mira'!$E$41*'6.Cibernético'!$E$24*'9.Simulação'!$O$14)+('7.Config'!$E$12*'4.Parâmetros_Verm'!$E$46*'4.Parâmetros_Verm'!$I$46*'4.Parâmetros_Verm'!$G$46*'5.Mira'!$F$41*'6.Cibernético'!$E$24*'9.Simulação'!$O$14)+('7.Config'!$E$12*'4.Parâmetros_Verm'!$E$47*'4.Parâmetros_Verm'!$I$47*'4.Parâmetros_Verm'!$G$47*'5.Mira'!$G$41*'6.Cibernético'!$E$24*'9.Simulação'!$O$14)+('7.Config'!$E$13*'4.Parâmetros_Verm'!$E$48*'4.Parâmetros_Verm'!$I$48*'4.Parâmetros_Verm'!$G$48*'5.Mira'!$H$41*'6.Cibernético'!$E$24*'9.Simulação'!$O$14)+('7.Config'!$E$13*'4.Parâmetros_Verm'!$E$49*'4.Parâmetros_Verm'!$I$49*'4.Parâmetros_Verm'!$G$49*'5.Mira'!$I$41*'6.Cibernético'!$E$24*'9.Simulação'!$O$14)</f>
        <v>0.55864176444378444</v>
      </c>
      <c r="K28" s="69">
        <f>('7.Config'!$E$10*'4.Parâmetros_Verm'!$E$43*'4.Parâmetros_Verm'!$I$43*'4.Parâmetros_Verm'!$G$43*'5.Mira'!$C$41*'6.Cibernético'!$E$24*'9.Simulação'!$O$15)+('7.Config'!$E$10*'4.Parâmetros_Verm'!$E$44*'4.Parâmetros_Verm'!$I$44*'4.Parâmetros_Verm'!$G$44*'5.Mira'!$D$41*'6.Cibernético'!$E$24*'9.Simulação'!$O$15)+('7.Config'!$E$11*'4.Parâmetros_Verm'!$E$45*'4.Parâmetros_Verm'!$I$45*'4.Parâmetros_Verm'!$G$45*'5.Mira'!$E$41*'6.Cibernético'!$E$24*'9.Simulação'!$O$15)+('7.Config'!$E$12*'4.Parâmetros_Verm'!$E$46*'4.Parâmetros_Verm'!$I$46*'4.Parâmetros_Verm'!$G$46*'5.Mira'!$F$41*'6.Cibernético'!$E$24*'9.Simulação'!$O$15)+('7.Config'!$E$12*'4.Parâmetros_Verm'!$E$47*'4.Parâmetros_Verm'!$I$47*'4.Parâmetros_Verm'!$G$47*'5.Mira'!$G$41*'6.Cibernético'!$E$24*'9.Simulação'!$O$15)+('7.Config'!$E$13*'4.Parâmetros_Verm'!$E$48*'4.Parâmetros_Verm'!$I$48*'4.Parâmetros_Verm'!$G$48*'5.Mira'!$H$41*'6.Cibernético'!$E$24*'9.Simulação'!$O$15)+('7.Config'!$E$13*'4.Parâmetros_Verm'!$E$49*'4.Parâmetros_Verm'!$I$49*'4.Parâmetros_Verm'!$G$49*'5.Mira'!$I$41*'6.Cibernético'!$E$24*'9.Simulação'!$O$15)</f>
        <v>0.55864176444378444</v>
      </c>
      <c r="L28" s="69">
        <f>('7.Config'!$E$10*'4.Parâmetros_Verm'!$E$43*'4.Parâmetros_Verm'!$I$43*'4.Parâmetros_Verm'!$G$43*'5.Mira'!$C$41*'6.Cibernético'!$E$24*'9.Simulação'!$O$16)+('7.Config'!$E$10*'4.Parâmetros_Verm'!$E$44*'4.Parâmetros_Verm'!$I$44*'4.Parâmetros_Verm'!$G$44*'5.Mira'!$D$41*'6.Cibernético'!$E$24*'9.Simulação'!$O$16)+('7.Config'!$E$11*'4.Parâmetros_Verm'!$E$45*'4.Parâmetros_Verm'!$I$45*'4.Parâmetros_Verm'!$G$45*'5.Mira'!$E$41*'6.Cibernético'!$E$24*'9.Simulação'!$O$16)+('7.Config'!$E$12*'4.Parâmetros_Verm'!$E$46*'4.Parâmetros_Verm'!$I$46*'4.Parâmetros_Verm'!$G$46*'5.Mira'!$F$41*'6.Cibernético'!$E$24*'9.Simulação'!$O$16)+('7.Config'!$E$12*'4.Parâmetros_Verm'!$E$47*'4.Parâmetros_Verm'!$I$47*'4.Parâmetros_Verm'!$G$47*'5.Mira'!$G$41*'6.Cibernético'!$E$24*'9.Simulação'!$O$16)+('7.Config'!$E$13*'4.Parâmetros_Verm'!$E$48*'4.Parâmetros_Verm'!$I$48*'4.Parâmetros_Verm'!$G$48*'5.Mira'!$H$41*'6.Cibernético'!$E$24*'9.Simulação'!$O$16)+('7.Config'!$E$13*'4.Parâmetros_Verm'!$E$49*'4.Parâmetros_Verm'!$I$49*'4.Parâmetros_Verm'!$G$49*'5.Mira'!$I$41*'6.Cibernético'!$E$24*'9.Simulação'!$O$16)</f>
        <v>0.55864176444378444</v>
      </c>
    </row>
    <row r="29" spans="1:12" x14ac:dyDescent="0.2">
      <c r="A29" s="68" t="s">
        <v>208</v>
      </c>
      <c r="B29" s="40" t="s">
        <v>81</v>
      </c>
      <c r="C29" s="69">
        <f>MAX(0,'9.Simulação'!$K$7-MAX(0,'8.MotorCalc'!$C$19-'8.MotorCalc'!$C$24)/MAX(0.001,'4.Parâmetros_Verm'!$J$7*'7.Config'!$C$18))</f>
        <v>1.9763859603120824</v>
      </c>
      <c r="D29" s="69">
        <f>MAX(0,'9.Simulação'!$K$8-MAX(0,'8.MotorCalc'!$D$19-'8.MotorCalc'!$D$24)/MAX(0.001,'4.Parâmetros_Verm'!$J$7*'7.Config'!$C$18))</f>
        <v>1.9526188542627201</v>
      </c>
      <c r="E29" s="69">
        <f>MAX(0,'9.Simulação'!$K$9-MAX(0,'8.MotorCalc'!$E$19-'8.MotorCalc'!$E$24)/MAX(0.001,'4.Parâmetros_Verm'!$J$7*'7.Config'!$C$18))</f>
        <v>1.9286968729605369</v>
      </c>
      <c r="F29" s="69">
        <f>MAX(0,'9.Simulação'!$K$10-MAX(0,'8.MotorCalc'!$F$19-'8.MotorCalc'!$F$24)/MAX(0.001,'4.Parâmetros_Verm'!$J$7*'7.Config'!$C$18))</f>
        <v>1.9046181823684254</v>
      </c>
      <c r="G29" s="69">
        <f>MAX(0,'9.Simulação'!$K$11-MAX(0,'8.MotorCalc'!$G$19-'8.MotorCalc'!$G$24)/MAX(0.001,'4.Parâmetros_Verm'!$J$7*'7.Config'!$C$18))</f>
        <v>1.8803809353081049</v>
      </c>
      <c r="H29" s="69">
        <f>MAX(0,'9.Simulação'!$K$12-MAX(0,'8.MotorCalc'!$H$19-'8.MotorCalc'!$H$24)/MAX(0.001,'4.Parâmetros_Verm'!$J$7*'7.Config'!$C$18))</f>
        <v>1.8559833625296327</v>
      </c>
      <c r="I29" s="69">
        <f>MAX(0,'9.Simulação'!$K$13-MAX(0,'8.MotorCalc'!$I$19-'8.MotorCalc'!$I$24)/MAX(0.001,'4.Parâmetros_Verm'!$J$7*'7.Config'!$C$18))</f>
        <v>1.8314236707922789</v>
      </c>
      <c r="J29" s="69">
        <f>MAX(0,'9.Simulação'!$K$14-MAX(0,'8.MotorCalc'!$J$19-'8.MotorCalc'!$J$24)/MAX(0.001,'4.Parâmetros_Verm'!$J$7*'7.Config'!$C$18))</f>
        <v>1.8067000425118129</v>
      </c>
      <c r="K29" s="69">
        <f>MAX(0,'9.Simulação'!$K$15-MAX(0,'8.MotorCalc'!$K$19-'8.MotorCalc'!$K$24)/MAX(0.001,'4.Parâmetros_Verm'!$J$7*'7.Config'!$C$18))</f>
        <v>1.7818106354024383</v>
      </c>
      <c r="L29" s="69">
        <f>MAX(0,'9.Simulação'!$K$16-MAX(0,'8.MotorCalc'!$L$19-'8.MotorCalc'!$L$24)/MAX(0.001,'4.Parâmetros_Verm'!$J$7*'7.Config'!$C$18))</f>
        <v>1.756753582113296</v>
      </c>
    </row>
    <row r="30" spans="1:12" x14ac:dyDescent="0.2">
      <c r="A30" s="68" t="s">
        <v>208</v>
      </c>
      <c r="B30" s="40" t="s">
        <v>83</v>
      </c>
      <c r="C30" s="69">
        <f>MAX(0,'9.Simulação'!$L$7-MAX(0,'8.MotorCalc'!$C$20-'8.MotorCalc'!$C$25)/MAX(0.001,'4.Parâmetros_Verm'!$J$16*'7.Config'!$C$18))</f>
        <v>1.9763859603120824</v>
      </c>
      <c r="D30" s="69">
        <f>MAX(0,'9.Simulação'!$L$8-MAX(0,'8.MotorCalc'!$D$20-'8.MotorCalc'!$D$25)/MAX(0.001,'4.Parâmetros_Verm'!$J$16*'7.Config'!$C$18))</f>
        <v>1.9526188542627201</v>
      </c>
      <c r="E30" s="69">
        <f>MAX(0,'9.Simulação'!$L$9-MAX(0,'8.MotorCalc'!$E$20-'8.MotorCalc'!$E$25)/MAX(0.001,'4.Parâmetros_Verm'!$J$16*'7.Config'!$C$18))</f>
        <v>1.9286968729605369</v>
      </c>
      <c r="F30" s="69">
        <f>MAX(0,'9.Simulação'!$L$10-MAX(0,'8.MotorCalc'!$F$20-'8.MotorCalc'!$F$25)/MAX(0.001,'4.Parâmetros_Verm'!$J$16*'7.Config'!$C$18))</f>
        <v>1.9046181823684254</v>
      </c>
      <c r="G30" s="69">
        <f>MAX(0,'9.Simulação'!$L$11-MAX(0,'8.MotorCalc'!$G$20-'8.MotorCalc'!$G$25)/MAX(0.001,'4.Parâmetros_Verm'!$J$16*'7.Config'!$C$18))</f>
        <v>1.8803809353081049</v>
      </c>
      <c r="H30" s="69">
        <f>MAX(0,'9.Simulação'!$L$12-MAX(0,'8.MotorCalc'!$H$20-'8.MotorCalc'!$H$25)/MAX(0.001,'4.Parâmetros_Verm'!$J$16*'7.Config'!$C$18))</f>
        <v>1.8559833625296327</v>
      </c>
      <c r="I30" s="69">
        <f>MAX(0,'9.Simulação'!$L$13-MAX(0,'8.MotorCalc'!$I$20-'8.MotorCalc'!$I$25)/MAX(0.001,'4.Parâmetros_Verm'!$J$16*'7.Config'!$C$18))</f>
        <v>1.8314236707922789</v>
      </c>
      <c r="J30" s="69">
        <f>MAX(0,'9.Simulação'!$L$14-MAX(0,'8.MotorCalc'!$J$20-'8.MotorCalc'!$J$25)/MAX(0.001,'4.Parâmetros_Verm'!$J$16*'7.Config'!$C$18))</f>
        <v>1.8067000425118129</v>
      </c>
      <c r="K30" s="69">
        <f>MAX(0,'9.Simulação'!$L$15-MAX(0,'8.MotorCalc'!$K$20-'8.MotorCalc'!$K$25)/MAX(0.001,'4.Parâmetros_Verm'!$J$16*'7.Config'!$C$18))</f>
        <v>1.7818106354024383</v>
      </c>
      <c r="L30" s="69">
        <f>MAX(0,'9.Simulação'!$L$16-MAX(0,'8.MotorCalc'!$L$20-'8.MotorCalc'!$L$25)/MAX(0.001,'4.Parâmetros_Verm'!$J$16*'7.Config'!$C$18))</f>
        <v>1.756753582113296</v>
      </c>
    </row>
    <row r="31" spans="1:12" x14ac:dyDescent="0.2">
      <c r="A31" s="68" t="s">
        <v>208</v>
      </c>
      <c r="B31" s="40" t="s">
        <v>86</v>
      </c>
      <c r="C31" s="69">
        <f>MAX(0,'9.Simulação'!$M$7-MAX(0,'8.MotorCalc'!$C$21-'8.MotorCalc'!$C$26)/MAX(0.001,'4.Parâmetros_Verm'!$J$25*'7.Config'!$C$17))</f>
        <v>6</v>
      </c>
      <c r="D31" s="69">
        <f>MAX(0,'9.Simulação'!$M$8-MAX(0,'8.MotorCalc'!$D$21-'8.MotorCalc'!$D$26)/MAX(0.001,'4.Parâmetros_Verm'!$J$25*'7.Config'!$C$17))</f>
        <v>6</v>
      </c>
      <c r="E31" s="69">
        <f>MAX(0,'9.Simulação'!$M$9-MAX(0,'8.MotorCalc'!$E$21-'8.MotorCalc'!$E$26)/MAX(0.001,'4.Parâmetros_Verm'!$J$25*'7.Config'!$C$17))</f>
        <v>6</v>
      </c>
      <c r="F31" s="69">
        <f>MAX(0,'9.Simulação'!$M$10-MAX(0,'8.MotorCalc'!$F$21-'8.MotorCalc'!$F$26)/MAX(0.001,'4.Parâmetros_Verm'!$J$25*'7.Config'!$C$17))</f>
        <v>6</v>
      </c>
      <c r="G31" s="69">
        <f>MAX(0,'9.Simulação'!$M$11-MAX(0,'8.MotorCalc'!$G$21-'8.MotorCalc'!$G$26)/MAX(0.001,'4.Parâmetros_Verm'!$J$25*'7.Config'!$C$17))</f>
        <v>6</v>
      </c>
      <c r="H31" s="69">
        <f>MAX(0,'9.Simulação'!$M$12-MAX(0,'8.MotorCalc'!$H$21-'8.MotorCalc'!$H$26)/MAX(0.001,'4.Parâmetros_Verm'!$J$25*'7.Config'!$C$17))</f>
        <v>6</v>
      </c>
      <c r="I31" s="69">
        <f>MAX(0,'9.Simulação'!$M$13-MAX(0,'8.MotorCalc'!$I$21-'8.MotorCalc'!$I$26)/MAX(0.001,'4.Parâmetros_Verm'!$J$25*'7.Config'!$C$17))</f>
        <v>6</v>
      </c>
      <c r="J31" s="69">
        <f>MAX(0,'9.Simulação'!$M$14-MAX(0,'8.MotorCalc'!$J$21-'8.MotorCalc'!$J$26)/MAX(0.001,'4.Parâmetros_Verm'!$J$25*'7.Config'!$C$17))</f>
        <v>6</v>
      </c>
      <c r="K31" s="69">
        <f>MAX(0,'9.Simulação'!$M$15-MAX(0,'8.MotorCalc'!$K$21-'8.MotorCalc'!$K$26)/MAX(0.001,'4.Parâmetros_Verm'!$J$25*'7.Config'!$C$17))</f>
        <v>6</v>
      </c>
      <c r="L31" s="69">
        <f>MAX(0,'9.Simulação'!$M$16-MAX(0,'8.MotorCalc'!$L$21-'8.MotorCalc'!$L$26)/MAX(0.001,'4.Parâmetros_Verm'!$J$25*'7.Config'!$C$17))</f>
        <v>6</v>
      </c>
    </row>
    <row r="32" spans="1:12" x14ac:dyDescent="0.2">
      <c r="A32" s="68" t="s">
        <v>208</v>
      </c>
      <c r="B32" s="40" t="s">
        <v>89</v>
      </c>
      <c r="C32" s="69">
        <f>MAX(0,'9.Simulação'!$N$7-MAX(0,'8.MotorCalc'!$C$22-'8.MotorCalc'!$C$27)/MAX(0.001,'4.Parâmetros_Verm'!$J$34*'7.Config'!$C$17))</f>
        <v>3</v>
      </c>
      <c r="D32" s="69">
        <f>MAX(0,'9.Simulação'!$N$8-MAX(0,'8.MotorCalc'!$D$22-'8.MotorCalc'!$D$27)/MAX(0.001,'4.Parâmetros_Verm'!$J$34*'7.Config'!$C$17))</f>
        <v>3</v>
      </c>
      <c r="E32" s="69">
        <f>MAX(0,'9.Simulação'!$N$9-MAX(0,'8.MotorCalc'!$E$22-'8.MotorCalc'!$E$27)/MAX(0.001,'4.Parâmetros_Verm'!$J$34*'7.Config'!$C$17))</f>
        <v>3</v>
      </c>
      <c r="F32" s="69">
        <f>MAX(0,'9.Simulação'!$N$10-MAX(0,'8.MotorCalc'!$F$22-'8.MotorCalc'!$F$27)/MAX(0.001,'4.Parâmetros_Verm'!$J$34*'7.Config'!$C$17))</f>
        <v>3</v>
      </c>
      <c r="G32" s="69">
        <f>MAX(0,'9.Simulação'!$N$11-MAX(0,'8.MotorCalc'!$G$22-'8.MotorCalc'!$G$27)/MAX(0.001,'4.Parâmetros_Verm'!$J$34*'7.Config'!$C$17))</f>
        <v>3</v>
      </c>
      <c r="H32" s="69">
        <f>MAX(0,'9.Simulação'!$N$12-MAX(0,'8.MotorCalc'!$H$22-'8.MotorCalc'!$H$27)/MAX(0.001,'4.Parâmetros_Verm'!$J$34*'7.Config'!$C$17))</f>
        <v>3</v>
      </c>
      <c r="I32" s="69">
        <f>MAX(0,'9.Simulação'!$N$13-MAX(0,'8.MotorCalc'!$I$22-'8.MotorCalc'!$I$27)/MAX(0.001,'4.Parâmetros_Verm'!$J$34*'7.Config'!$C$17))</f>
        <v>3</v>
      </c>
      <c r="J32" s="69">
        <f>MAX(0,'9.Simulação'!$N$14-MAX(0,'8.MotorCalc'!$J$22-'8.MotorCalc'!$J$27)/MAX(0.001,'4.Parâmetros_Verm'!$J$34*'7.Config'!$C$17))</f>
        <v>3</v>
      </c>
      <c r="K32" s="69">
        <f>MAX(0,'9.Simulação'!$N$15-MAX(0,'8.MotorCalc'!$K$22-'8.MotorCalc'!$K$27)/MAX(0.001,'4.Parâmetros_Verm'!$J$34*'7.Config'!$C$17))</f>
        <v>3</v>
      </c>
      <c r="L32" s="69">
        <f>MAX(0,'9.Simulação'!$N$16-MAX(0,'8.MotorCalc'!$L$22-'8.MotorCalc'!$L$27)/MAX(0.001,'4.Parâmetros_Verm'!$J$34*'7.Config'!$C$17))</f>
        <v>3</v>
      </c>
    </row>
    <row r="33" spans="1:12" x14ac:dyDescent="0.2">
      <c r="A33" s="68" t="s">
        <v>208</v>
      </c>
      <c r="B33" s="40" t="s">
        <v>91</v>
      </c>
      <c r="C33" s="69">
        <f>MAX(0,'9.Simulação'!$O$7-MAX(0,'8.MotorCalc'!$C$23-'8.MotorCalc'!$C$28)/MAX(0.001,'4.Parâmetros_Verm'!$J$43*'7.Config'!$C$17))</f>
        <v>2</v>
      </c>
      <c r="D33" s="69">
        <f>MAX(0,'9.Simulação'!$O$8-MAX(0,'8.MotorCalc'!$D$23-'8.MotorCalc'!$D$28)/MAX(0.001,'4.Parâmetros_Verm'!$J$43*'7.Config'!$C$17))</f>
        <v>2</v>
      </c>
      <c r="E33" s="69">
        <f>MAX(0,'9.Simulação'!$O$9-MAX(0,'8.MotorCalc'!$E$23-'8.MotorCalc'!$E$28)/MAX(0.001,'4.Parâmetros_Verm'!$J$43*'7.Config'!$C$17))</f>
        <v>2</v>
      </c>
      <c r="F33" s="69">
        <f>MAX(0,'9.Simulação'!$O$10-MAX(0,'8.MotorCalc'!$F$23-'8.MotorCalc'!$F$28)/MAX(0.001,'4.Parâmetros_Verm'!$J$43*'7.Config'!$C$17))</f>
        <v>2</v>
      </c>
      <c r="G33" s="69">
        <f>MAX(0,'9.Simulação'!$O$11-MAX(0,'8.MotorCalc'!$G$23-'8.MotorCalc'!$G$28)/MAX(0.001,'4.Parâmetros_Verm'!$J$43*'7.Config'!$C$17))</f>
        <v>2</v>
      </c>
      <c r="H33" s="69">
        <f>MAX(0,'9.Simulação'!$O$12-MAX(0,'8.MotorCalc'!$H$23-'8.MotorCalc'!$H$28)/MAX(0.001,'4.Parâmetros_Verm'!$J$43*'7.Config'!$C$17))</f>
        <v>2</v>
      </c>
      <c r="I33" s="69">
        <f>MAX(0,'9.Simulação'!$O$13-MAX(0,'8.MotorCalc'!$I$23-'8.MotorCalc'!$I$28)/MAX(0.001,'4.Parâmetros_Verm'!$J$43*'7.Config'!$C$17))</f>
        <v>2</v>
      </c>
      <c r="J33" s="69">
        <f>MAX(0,'9.Simulação'!$O$14-MAX(0,'8.MotorCalc'!$J$23-'8.MotorCalc'!$J$28)/MAX(0.001,'4.Parâmetros_Verm'!$J$43*'7.Config'!$C$17))</f>
        <v>2</v>
      </c>
      <c r="K33" s="69">
        <f>MAX(0,'9.Simulação'!$O$15-MAX(0,'8.MotorCalc'!$K$23-'8.MotorCalc'!$K$28)/MAX(0.001,'4.Parâmetros_Verm'!$J$43*'7.Config'!$C$17))</f>
        <v>2</v>
      </c>
      <c r="L33" s="69">
        <f>MAX(0,'9.Simulação'!$O$16-MAX(0,'8.MotorCalc'!$L$23-'8.MotorCalc'!$L$28)/MAX(0.001,'4.Parâmetros_Verm'!$J$43*'7.Config'!$C$17))</f>
        <v>2</v>
      </c>
    </row>
    <row r="34" spans="1:12" x14ac:dyDescent="0.2">
      <c r="A34" s="68" t="s">
        <v>209</v>
      </c>
      <c r="B34" s="40" t="s">
        <v>79</v>
      </c>
      <c r="C34" s="69">
        <f>MAX(0,'9.Simulação'!$C$7-MAX(0,'8.MotorCalc'!$C$5-'8.MotorCalc'!$C$12)/MAX(0.001,'3.Parâmetros_Azul'!$J$7*'7.Config'!$C$18))</f>
        <v>1.9850518068793628</v>
      </c>
      <c r="D34" s="69">
        <f>MAX(0,'9.Simulação'!$C$8-MAX(0,'8.MotorCalc'!$D$5-'8.MotorCalc'!$D$12)/MAX(0.001,'3.Parâmetros_Azul'!$J$7*'7.Config'!$C$18))</f>
        <v>1.9700880152107867</v>
      </c>
      <c r="E34" s="69">
        <f>MAX(0,'9.Simulação'!$C$9-MAX(0,'8.MotorCalc'!$E$5-'8.MotorCalc'!$E$12)/MAX(0.001,'3.Parâmetros_Azul'!$J$7*'7.Config'!$C$18))</f>
        <v>1.9551092636842666</v>
      </c>
      <c r="F34" s="69">
        <f>MAX(0,'9.Simulação'!$C$10-MAX(0,'8.MotorCalc'!$F$5-'8.MotorCalc'!$F$12)/MAX(0.001,'3.Parâmetros_Azul'!$J$7*'7.Config'!$C$18))</f>
        <v>1.9401162060272905</v>
      </c>
      <c r="G34" s="69">
        <f>MAX(0,'9.Simulação'!$C$11-MAX(0,'8.MotorCalc'!$G$5-'8.MotorCalc'!$G$12)/MAX(0.001,'3.Parâmetros_Azul'!$J$7*'7.Config'!$C$18))</f>
        <v>1.9251095112699252</v>
      </c>
      <c r="H34" s="69">
        <f>MAX(0,'9.Simulação'!$C$12-MAX(0,'8.MotorCalc'!$H$5-'8.MotorCalc'!$H$12)/MAX(0.001,'3.Parâmetros_Azul'!$J$7*'7.Config'!$C$18))</f>
        <v>1.9100898639510919</v>
      </c>
      <c r="I34" s="69">
        <f>MAX(0,'9.Simulação'!$C$13-MAX(0,'8.MotorCalc'!$I$5-'8.MotorCalc'!$I$12)/MAX(0.001,'3.Parâmetros_Azul'!$J$7*'7.Config'!$C$18))</f>
        <v>1.8950579638622636</v>
      </c>
      <c r="J34" s="69">
        <f>MAX(0,'9.Simulação'!$C$14-MAX(0,'8.MotorCalc'!$J$5-'8.MotorCalc'!$J$12)/MAX(0.001,'3.Parâmetros_Azul'!$J$7*'7.Config'!$C$18))</f>
        <v>1.8800145263086177</v>
      </c>
      <c r="K34" s="69">
        <f>MAX(0,'9.Simulação'!$C$15-MAX(0,'8.MotorCalc'!$K$5-'8.MotorCalc'!$K$12)/MAX(0.001,'3.Parâmetros_Azul'!$J$7*'7.Config'!$C$18))</f>
        <v>1.864960282374365</v>
      </c>
      <c r="L34" s="69">
        <f>MAX(0,'9.Simulação'!$C$16-MAX(0,'8.MotorCalc'!$L$5-'8.MotorCalc'!$L$12)/MAX(0.001,'3.Parâmetros_Azul'!$J$7*'7.Config'!$C$18))</f>
        <v>1.8498959791923175</v>
      </c>
    </row>
    <row r="35" spans="1:12" x14ac:dyDescent="0.2">
      <c r="A35" s="68" t="s">
        <v>209</v>
      </c>
      <c r="B35" s="40" t="s">
        <v>82</v>
      </c>
      <c r="C35" s="69">
        <f>MAX(0,'9.Simulação'!$D$7-MAX(0,'8.MotorCalc'!$C$6-'8.MotorCalc'!$C$13)/MAX(0.001,'3.Parâmetros_Azul'!$J$14*'7.Config'!$C$18))</f>
        <v>1.9850518068793628</v>
      </c>
      <c r="D35" s="69">
        <f>MAX(0,'9.Simulação'!$D$8-MAX(0,'8.MotorCalc'!$D$6-'8.MotorCalc'!$D$13)/MAX(0.001,'3.Parâmetros_Azul'!$J$14*'7.Config'!$C$18))</f>
        <v>1.9700880152107867</v>
      </c>
      <c r="E35" s="69">
        <f>MAX(0,'9.Simulação'!$D$9-MAX(0,'8.MotorCalc'!$E$6-'8.MotorCalc'!$E$13)/MAX(0.001,'3.Parâmetros_Azul'!$J$14*'7.Config'!$C$18))</f>
        <v>1.9551092636842666</v>
      </c>
      <c r="F35" s="69">
        <f>MAX(0,'9.Simulação'!$D$10-MAX(0,'8.MotorCalc'!$F$6-'8.MotorCalc'!$F$13)/MAX(0.001,'3.Parâmetros_Azul'!$J$14*'7.Config'!$C$18))</f>
        <v>1.9401162060272905</v>
      </c>
      <c r="G35" s="69">
        <f>MAX(0,'9.Simulação'!$D$11-MAX(0,'8.MotorCalc'!$G$6-'8.MotorCalc'!$G$13)/MAX(0.001,'3.Parâmetros_Azul'!$J$14*'7.Config'!$C$18))</f>
        <v>1.9251095112699252</v>
      </c>
      <c r="H35" s="69">
        <f>MAX(0,'9.Simulação'!$D$12-MAX(0,'8.MotorCalc'!$H$6-'8.MotorCalc'!$H$13)/MAX(0.001,'3.Parâmetros_Azul'!$J$14*'7.Config'!$C$18))</f>
        <v>1.9100898639510919</v>
      </c>
      <c r="I35" s="69">
        <f>MAX(0,'9.Simulação'!$D$13-MAX(0,'8.MotorCalc'!$I$6-'8.MotorCalc'!$I$13)/MAX(0.001,'3.Parâmetros_Azul'!$J$14*'7.Config'!$C$18))</f>
        <v>1.8950579638622636</v>
      </c>
      <c r="J35" s="69">
        <f>MAX(0,'9.Simulação'!$D$14-MAX(0,'8.MotorCalc'!$J$6-'8.MotorCalc'!$J$13)/MAX(0.001,'3.Parâmetros_Azul'!$J$14*'7.Config'!$C$18))</f>
        <v>1.8800145263086177</v>
      </c>
      <c r="K35" s="69">
        <f>MAX(0,'9.Simulação'!$D$15-MAX(0,'8.MotorCalc'!$K$6-'8.MotorCalc'!$K$13)/MAX(0.001,'3.Parâmetros_Azul'!$J$14*'7.Config'!$C$18))</f>
        <v>1.864960282374365</v>
      </c>
      <c r="L35" s="69">
        <f>MAX(0,'9.Simulação'!$D$16-MAX(0,'8.MotorCalc'!$L$6-'8.MotorCalc'!$L$13)/MAX(0.001,'3.Parâmetros_Azul'!$J$14*'7.Config'!$C$18))</f>
        <v>1.8498959791923175</v>
      </c>
    </row>
    <row r="36" spans="1:12" x14ac:dyDescent="0.2">
      <c r="A36" s="68" t="s">
        <v>209</v>
      </c>
      <c r="B36" s="40" t="s">
        <v>84</v>
      </c>
      <c r="C36" s="69">
        <f>MAX(0,'9.Simulação'!$E$7-MAX(0,'8.MotorCalc'!$C$7-'8.MotorCalc'!$C$14)/MAX(0.001,'3.Parâmetros_Azul'!$J$21*'7.Config'!$C$20))</f>
        <v>0.99933883333333329</v>
      </c>
      <c r="D36" s="69">
        <f>MAX(0,'9.Simulação'!$E$8-MAX(0,'8.MotorCalc'!$D$7-'8.MotorCalc'!$D$14)/MAX(0.001,'3.Parâmetros_Azul'!$J$21*'7.Config'!$C$20))</f>
        <v>0.9986848654278212</v>
      </c>
      <c r="E36" s="69">
        <f>MAX(0,'9.Simulação'!$E$9-MAX(0,'8.MotorCalc'!$E$7-'8.MotorCalc'!$E$14)/MAX(0.001,'3.Parâmetros_Azul'!$J$21*'7.Config'!$C$20))</f>
        <v>0.99803815213343927</v>
      </c>
      <c r="F36" s="69">
        <f>MAX(0,'9.Simulação'!$E$10-MAX(0,'8.MotorCalc'!$F$7-'8.MotorCalc'!$F$14)/MAX(0.001,'3.Parâmetros_Azul'!$J$21*'7.Config'!$C$20))</f>
        <v>0.997398749936803</v>
      </c>
      <c r="G36" s="69">
        <f>MAX(0,'9.Simulação'!$E$11-MAX(0,'8.MotorCalc'!$G$7-'8.MotorCalc'!$G$14)/MAX(0.001,'3.Parâmetros_Azul'!$J$21*'7.Config'!$C$20))</f>
        <v>0.99676671596990574</v>
      </c>
      <c r="H36" s="69">
        <f>MAX(0,'9.Simulação'!$E$12-MAX(0,'8.MotorCalc'!$H$7-'8.MotorCalc'!$H$14)/MAX(0.001,'3.Parâmetros_Azul'!$J$21*'7.Config'!$C$20))</f>
        <v>0.99614210801493541</v>
      </c>
      <c r="I36" s="69">
        <f>MAX(0,'9.Simulação'!$E$13-MAX(0,'8.MotorCalc'!$I$7-'8.MotorCalc'!$I$14)/MAX(0.001,'3.Parâmetros_Azul'!$J$21*'7.Config'!$C$20))</f>
        <v>0.99552498447929283</v>
      </c>
      <c r="J36" s="69">
        <f>MAX(0,'9.Simulação'!$E$14-MAX(0,'8.MotorCalc'!$J$7-'8.MotorCalc'!$J$14)/MAX(0.001,'3.Parâmetros_Azul'!$J$21*'7.Config'!$C$20))</f>
        <v>0.99491540440394277</v>
      </c>
      <c r="K36" s="69">
        <f>MAX(0,'9.Simulação'!$E$15-MAX(0,'8.MotorCalc'!$K$7-'8.MotorCalc'!$K$14)/MAX(0.001,'3.Parâmetros_Azul'!$J$21*'7.Config'!$C$20))</f>
        <v>0.99431342747188722</v>
      </c>
      <c r="L36" s="69">
        <f>MAX(0,'9.Simulação'!$E$16-MAX(0,'8.MotorCalc'!$L$7-'8.MotorCalc'!$L$14)/MAX(0.001,'3.Parâmetros_Azul'!$J$21*'7.Config'!$C$20))</f>
        <v>0.99371911401676261</v>
      </c>
    </row>
    <row r="37" spans="1:12" x14ac:dyDescent="0.2">
      <c r="A37" s="68" t="s">
        <v>209</v>
      </c>
      <c r="B37" s="40" t="s">
        <v>88</v>
      </c>
      <c r="C37" s="69">
        <f>MAX(0,'9.Simulação'!$F$7-MAX(0,'8.MotorCalc'!$C$8-'8.MotorCalc'!$C$15)/MAX(0.001,'3.Parâmetros_Azul'!$J$28*'7.Config'!$C$17))</f>
        <v>3</v>
      </c>
      <c r="D37" s="69">
        <f>MAX(0,'9.Simulação'!$F$8-MAX(0,'8.MotorCalc'!$D$8-'8.MotorCalc'!$D$15)/MAX(0.001,'3.Parâmetros_Azul'!$J$28*'7.Config'!$C$17))</f>
        <v>3</v>
      </c>
      <c r="E37" s="69">
        <f>MAX(0,'9.Simulação'!$F$9-MAX(0,'8.MotorCalc'!$E$8-'8.MotorCalc'!$E$15)/MAX(0.001,'3.Parâmetros_Azul'!$J$28*'7.Config'!$C$17))</f>
        <v>3</v>
      </c>
      <c r="F37" s="69">
        <f>MAX(0,'9.Simulação'!$F$10-MAX(0,'8.MotorCalc'!$F$8-'8.MotorCalc'!$F$15)/MAX(0.001,'3.Parâmetros_Azul'!$J$28*'7.Config'!$C$17))</f>
        <v>3</v>
      </c>
      <c r="G37" s="69">
        <f>MAX(0,'9.Simulação'!$F$11-MAX(0,'8.MotorCalc'!$G$8-'8.MotorCalc'!$G$15)/MAX(0.001,'3.Parâmetros_Azul'!$J$28*'7.Config'!$C$17))</f>
        <v>3</v>
      </c>
      <c r="H37" s="69">
        <f>MAX(0,'9.Simulação'!$F$12-MAX(0,'8.MotorCalc'!$H$8-'8.MotorCalc'!$H$15)/MAX(0.001,'3.Parâmetros_Azul'!$J$28*'7.Config'!$C$17))</f>
        <v>3</v>
      </c>
      <c r="I37" s="69">
        <f>MAX(0,'9.Simulação'!$F$13-MAX(0,'8.MotorCalc'!$I$8-'8.MotorCalc'!$I$15)/MAX(0.001,'3.Parâmetros_Azul'!$J$28*'7.Config'!$C$17))</f>
        <v>3</v>
      </c>
      <c r="J37" s="69">
        <f>MAX(0,'9.Simulação'!$F$14-MAX(0,'8.MotorCalc'!$J$8-'8.MotorCalc'!$J$15)/MAX(0.001,'3.Parâmetros_Azul'!$J$28*'7.Config'!$C$17))</f>
        <v>3</v>
      </c>
      <c r="K37" s="69">
        <f>MAX(0,'9.Simulação'!$F$15-MAX(0,'8.MotorCalc'!$K$8-'8.MotorCalc'!$K$15)/MAX(0.001,'3.Parâmetros_Azul'!$J$28*'7.Config'!$C$17))</f>
        <v>3</v>
      </c>
      <c r="L37" s="69">
        <f>MAX(0,'9.Simulação'!$F$16-MAX(0,'8.MotorCalc'!$L$8-'8.MotorCalc'!$L$15)/MAX(0.001,'3.Parâmetros_Azul'!$J$28*'7.Config'!$C$17))</f>
        <v>3</v>
      </c>
    </row>
    <row r="38" spans="1:12" x14ac:dyDescent="0.2">
      <c r="A38" s="68" t="s">
        <v>209</v>
      </c>
      <c r="B38" s="40" t="s">
        <v>90</v>
      </c>
      <c r="C38" s="69">
        <f>MAX(0,'9.Simulação'!$G$7-MAX(0,'8.MotorCalc'!$C$9-'8.MotorCalc'!$C$16)/MAX(0.001,'3.Parâmetros_Azul'!$J$35*'7.Config'!$C$17))</f>
        <v>2</v>
      </c>
      <c r="D38" s="69">
        <f>MAX(0,'9.Simulação'!$G$8-MAX(0,'8.MotorCalc'!$D$9-'8.MotorCalc'!$D$16)/MAX(0.001,'3.Parâmetros_Azul'!$J$35*'7.Config'!$C$17))</f>
        <v>2</v>
      </c>
      <c r="E38" s="69">
        <f>MAX(0,'9.Simulação'!$G$9-MAX(0,'8.MotorCalc'!$E$9-'8.MotorCalc'!$E$16)/MAX(0.001,'3.Parâmetros_Azul'!$J$35*'7.Config'!$C$17))</f>
        <v>2</v>
      </c>
      <c r="F38" s="69">
        <f>MAX(0,'9.Simulação'!$G$10-MAX(0,'8.MotorCalc'!$F$9-'8.MotorCalc'!$F$16)/MAX(0.001,'3.Parâmetros_Azul'!$J$35*'7.Config'!$C$17))</f>
        <v>2</v>
      </c>
      <c r="G38" s="69">
        <f>MAX(0,'9.Simulação'!$G$11-MAX(0,'8.MotorCalc'!$G$9-'8.MotorCalc'!$G$16)/MAX(0.001,'3.Parâmetros_Azul'!$J$35*'7.Config'!$C$17))</f>
        <v>2</v>
      </c>
      <c r="H38" s="69">
        <f>MAX(0,'9.Simulação'!$G$12-MAX(0,'8.MotorCalc'!$H$9-'8.MotorCalc'!$H$16)/MAX(0.001,'3.Parâmetros_Azul'!$J$35*'7.Config'!$C$17))</f>
        <v>2</v>
      </c>
      <c r="I38" s="69">
        <f>MAX(0,'9.Simulação'!$G$13-MAX(0,'8.MotorCalc'!$I$9-'8.MotorCalc'!$I$16)/MAX(0.001,'3.Parâmetros_Azul'!$J$35*'7.Config'!$C$17))</f>
        <v>2</v>
      </c>
      <c r="J38" s="69">
        <f>MAX(0,'9.Simulação'!$G$14-MAX(0,'8.MotorCalc'!$J$9-'8.MotorCalc'!$J$16)/MAX(0.001,'3.Parâmetros_Azul'!$J$35*'7.Config'!$C$17))</f>
        <v>2</v>
      </c>
      <c r="K38" s="69">
        <f>MAX(0,'9.Simulação'!$G$15-MAX(0,'8.MotorCalc'!$K$9-'8.MotorCalc'!$K$16)/MAX(0.001,'3.Parâmetros_Azul'!$J$35*'7.Config'!$C$17))</f>
        <v>2</v>
      </c>
      <c r="L38" s="69">
        <f>MAX(0,'9.Simulação'!$G$16-MAX(0,'8.MotorCalc'!$L$9-'8.MotorCalc'!$L$16)/MAX(0.001,'3.Parâmetros_Azul'!$J$35*'7.Config'!$C$17))</f>
        <v>2</v>
      </c>
    </row>
    <row r="39" spans="1:12" x14ac:dyDescent="0.2">
      <c r="A39" s="68" t="s">
        <v>209</v>
      </c>
      <c r="B39" s="40" t="s">
        <v>92</v>
      </c>
      <c r="C39" s="69">
        <f>MAX(0,'9.Simulação'!$H$7-MAX(0,'8.MotorCalc'!$C$10-'8.MotorCalc'!$C$17)/MAX(0.001,'3.Parâmetros_Azul'!$J$42*'7.Config'!$C$19))</f>
        <v>5.9998429946717655</v>
      </c>
      <c r="D39" s="69">
        <f>MAX(0,'9.Simulação'!$H$8-MAX(0,'8.MotorCalc'!$D$10-'8.MotorCalc'!$D$17)/MAX(0.001,'3.Parâmetros_Azul'!$J$42*'7.Config'!$C$19))</f>
        <v>5.9997398076056836</v>
      </c>
      <c r="E39" s="69">
        <f>MAX(0,'9.Simulação'!$H$9-MAX(0,'8.MotorCalc'!$E$10-'8.MotorCalc'!$E$17)/MAX(0.001,'3.Parâmetros_Azul'!$J$42*'7.Config'!$C$19))</f>
        <v>5.999690918960197</v>
      </c>
      <c r="F39" s="69">
        <f>MAX(0,'9.Simulação'!$H$10-MAX(0,'8.MotorCalc'!$F$10-'8.MotorCalc'!$F$17)/MAX(0.001,'3.Parâmetros_Azul'!$J$42*'7.Config'!$C$19))</f>
        <v>5.999690918960197</v>
      </c>
      <c r="G39" s="69">
        <f>MAX(0,'9.Simulação'!$H$11-MAX(0,'8.MotorCalc'!$G$10-'8.MotorCalc'!$G$17)/MAX(0.001,'3.Parâmetros_Azul'!$J$42*'7.Config'!$C$19))</f>
        <v>5.999690918960197</v>
      </c>
      <c r="H39" s="69">
        <f>MAX(0,'9.Simulação'!$H$12-MAX(0,'8.MotorCalc'!$H$10-'8.MotorCalc'!$H$17)/MAX(0.001,'3.Parâmetros_Azul'!$J$42*'7.Config'!$C$19))</f>
        <v>5.999690918960197</v>
      </c>
      <c r="I39" s="69">
        <f>MAX(0,'9.Simulação'!$H$13-MAX(0,'8.MotorCalc'!$I$10-'8.MotorCalc'!$I$17)/MAX(0.001,'3.Parâmetros_Azul'!$J$42*'7.Config'!$C$19))</f>
        <v>5.999690918960197</v>
      </c>
      <c r="J39" s="69">
        <f>MAX(0,'9.Simulação'!$H$14-MAX(0,'8.MotorCalc'!$J$10-'8.MotorCalc'!$J$17)/MAX(0.001,'3.Parâmetros_Azul'!$J$42*'7.Config'!$C$19))</f>
        <v>5.999690918960197</v>
      </c>
      <c r="K39" s="69">
        <f>MAX(0,'9.Simulação'!$H$15-MAX(0,'8.MotorCalc'!$K$10-'8.MotorCalc'!$K$17)/MAX(0.001,'3.Parâmetros_Azul'!$J$42*'7.Config'!$C$19))</f>
        <v>5.999690918960197</v>
      </c>
      <c r="L39" s="69">
        <f>MAX(0,'9.Simulação'!$H$16-MAX(0,'8.MotorCalc'!$L$10-'8.MotorCalc'!$L$17)/MAX(0.001,'3.Parâmetros_Azul'!$J$42*'7.Config'!$C$19))</f>
        <v>5.999690918960197</v>
      </c>
    </row>
    <row r="40" spans="1:12" x14ac:dyDescent="0.2">
      <c r="A40" s="68" t="s">
        <v>209</v>
      </c>
      <c r="B40" s="40" t="s">
        <v>94</v>
      </c>
      <c r="C40" s="69">
        <f>MAX(0,'9.Simulação'!$I$7-MAX(0,'8.MotorCalc'!$C$11-'8.MotorCalc'!$C$18)/MAX(0.001,'3.Parâmetros_Azul'!$J$49*'7.Config'!$C$19))</f>
        <v>1.990264748223922</v>
      </c>
      <c r="D40" s="69">
        <f>MAX(0,'9.Simulação'!$I$8-MAX(0,'8.MotorCalc'!$D$11-'8.MotorCalc'!$D$18)/MAX(0.001,'3.Parâmetros_Azul'!$J$49*'7.Config'!$C$19))</f>
        <v>1.980560379008742</v>
      </c>
      <c r="E40" s="69">
        <f>MAX(0,'9.Simulação'!$I$9-MAX(0,'8.MotorCalc'!$E$11-'8.MotorCalc'!$E$18)/MAX(0.001,'3.Parâmetros_Azul'!$J$49*'7.Config'!$C$19))</f>
        <v>1.9708873175919543</v>
      </c>
      <c r="F40" s="69">
        <f>MAX(0,'9.Simulação'!$I$10-MAX(0,'8.MotorCalc'!$F$11-'8.MotorCalc'!$F$18)/MAX(0.001,'3.Parâmetros_Azul'!$J$49*'7.Config'!$C$19))</f>
        <v>1.9612459943807163</v>
      </c>
      <c r="G40" s="69">
        <f>MAX(0,'9.Simulação'!$I$11-MAX(0,'8.MotorCalc'!$G$11-'8.MotorCalc'!$G$18)/MAX(0.001,'3.Parâmetros_Azul'!$J$49*'7.Config'!$C$19))</f>
        <v>1.951636845021937</v>
      </c>
      <c r="H40" s="69">
        <f>MAX(0,'9.Simulação'!$I$12-MAX(0,'8.MotorCalc'!$H$11-'8.MotorCalc'!$H$18)/MAX(0.001,'3.Parâmetros_Azul'!$J$49*'7.Config'!$C$19))</f>
        <v>1.9420603104449832</v>
      </c>
      <c r="I40" s="69">
        <f>MAX(0,'9.Simulação'!$I$13-MAX(0,'8.MotorCalc'!$I$11-'8.MotorCalc'!$I$18)/MAX(0.001,'3.Parâmetros_Azul'!$J$49*'7.Config'!$C$19))</f>
        <v>1.9325168366954824</v>
      </c>
      <c r="J40" s="69">
        <f>MAX(0,'9.Simulação'!$I$14-MAX(0,'8.MotorCalc'!$J$11-'8.MotorCalc'!$J$18)/MAX(0.001,'3.Parâmetros_Azul'!$J$49*'7.Config'!$C$19))</f>
        <v>1.9230068750026335</v>
      </c>
      <c r="K40" s="69">
        <f>MAX(0,'9.Simulação'!$I$15-MAX(0,'8.MotorCalc'!$K$11-'8.MotorCalc'!$K$18)/MAX(0.001,'3.Parâmetros_Azul'!$J$49*'7.Config'!$C$19))</f>
        <v>1.9135308818474872</v>
      </c>
      <c r="L40" s="69">
        <f>MAX(0,'9.Simulação'!$I$16-MAX(0,'8.MotorCalc'!$L$11-'8.MotorCalc'!$L$18)/MAX(0.001,'3.Parâmetros_Azul'!$J$49*'7.Config'!$C$19))</f>
        <v>1.9040893190322126</v>
      </c>
    </row>
    <row r="41" spans="1:12" x14ac:dyDescent="0.2">
      <c r="A41" s="68" t="s">
        <v>210</v>
      </c>
      <c r="B41" s="40" t="s">
        <v>79</v>
      </c>
      <c r="C41" s="69">
        <f>('7.Config'!$C$10*'4.Parâmetros_Verm'!$D$7*'4.Parâmetros_Verm'!$F$7*'4.Parâmetros_Verm'!$G$7*'4.Parâmetros_Verm'!$H$7*'5.Mira'!$C$17*'6.Cibernético'!$C$24*'6.Cibernético'!$D$23*'8.MotorCalc'!$C$29)+('7.Config'!$C$10*'4.Parâmetros_Verm'!$D$16*'4.Parâmetros_Verm'!$F$16*'4.Parâmetros_Verm'!$G$16*'4.Parâmetros_Verm'!$H$16*'5.Mira'!$C$18*'6.Cibernético'!$C$24*'6.Cibernético'!$D$23*'8.MotorCalc'!$C$30)+('7.Config'!$C$12*'4.Parâmetros_Verm'!$D$25*'4.Parâmetros_Verm'!$F$25*'4.Parâmetros_Verm'!$G$25*'4.Parâmetros_Verm'!$H$25*'5.Mira'!$C$19*'6.Cibernético'!$C$24*'6.Cibernético'!$D$23*'8.MotorCalc'!$C$31)+('7.Config'!$C$12*'4.Parâmetros_Verm'!$D$34*'4.Parâmetros_Verm'!$F$34*'4.Parâmetros_Verm'!$G$34*'4.Parâmetros_Verm'!$H$34*'5.Mira'!$C$20*'6.Cibernético'!$C$24*'6.Cibernético'!$D$23*'8.MotorCalc'!$C$32)+('7.Config'!$C$12*'4.Parâmetros_Verm'!$D$43*'4.Parâmetros_Verm'!$F$43*'4.Parâmetros_Verm'!$G$43*'4.Parâmetros_Verm'!$H$43*'5.Mira'!$C$21*'6.Cibernético'!$C$24*'6.Cibernético'!$D$23*'8.MotorCalc'!$C$33)</f>
        <v>0.99083923942774865</v>
      </c>
      <c r="D41" s="69">
        <f>('7.Config'!$C$10*'4.Parâmetros_Verm'!$D$7*'4.Parâmetros_Verm'!$F$7*'4.Parâmetros_Verm'!$G$7*'4.Parâmetros_Verm'!$H$7*'5.Mira'!$C$17*'6.Cibernético'!$C$24*'6.Cibernético'!$D$23*'8.MotorCalc'!$D$29)+('7.Config'!$C$10*'4.Parâmetros_Verm'!$D$16*'4.Parâmetros_Verm'!$F$16*'4.Parâmetros_Verm'!$G$16*'4.Parâmetros_Verm'!$H$16*'5.Mira'!$C$18*'6.Cibernético'!$C$24*'6.Cibernético'!$D$23*'8.MotorCalc'!$D$30)+('7.Config'!$C$12*'4.Parâmetros_Verm'!$D$25*'4.Parâmetros_Verm'!$F$25*'4.Parâmetros_Verm'!$G$25*'4.Parâmetros_Verm'!$H$25*'5.Mira'!$C$19*'6.Cibernético'!$C$24*'6.Cibernético'!$D$23*'8.MotorCalc'!$D$31)+('7.Config'!$C$12*'4.Parâmetros_Verm'!$D$34*'4.Parâmetros_Verm'!$F$34*'4.Parâmetros_Verm'!$G$34*'4.Parâmetros_Verm'!$H$34*'5.Mira'!$C$20*'6.Cibernético'!$C$24*'6.Cibernético'!$D$23*'8.MotorCalc'!$D$32)+('7.Config'!$C$12*'4.Parâmetros_Verm'!$D$43*'4.Parâmetros_Verm'!$F$43*'4.Parâmetros_Verm'!$G$43*'4.Parâmetros_Verm'!$H$43*'5.Mira'!$C$21*'6.Cibernético'!$C$24*'6.Cibernético'!$D$23*'8.MotorCalc'!$D$33)</f>
        <v>0.98720287220219627</v>
      </c>
      <c r="E41" s="69">
        <f>('7.Config'!$C$10*'4.Parâmetros_Verm'!$D$7*'4.Parâmetros_Verm'!$F$7*'4.Parâmetros_Verm'!$G$7*'4.Parâmetros_Verm'!$H$7*'5.Mira'!$C$17*'6.Cibernético'!$C$24*'6.Cibernético'!$D$23*'8.MotorCalc'!$E$29)+('7.Config'!$C$10*'4.Parâmetros_Verm'!$D$16*'4.Parâmetros_Verm'!$F$16*'4.Parâmetros_Verm'!$G$16*'4.Parâmetros_Verm'!$H$16*'5.Mira'!$C$18*'6.Cibernético'!$C$24*'6.Cibernético'!$D$23*'8.MotorCalc'!$E$30)+('7.Config'!$C$12*'4.Parâmetros_Verm'!$D$25*'4.Parâmetros_Verm'!$F$25*'4.Parâmetros_Verm'!$G$25*'4.Parâmetros_Verm'!$H$25*'5.Mira'!$C$19*'6.Cibernético'!$C$24*'6.Cibernético'!$D$23*'8.MotorCalc'!$E$31)+('7.Config'!$C$12*'4.Parâmetros_Verm'!$D$34*'4.Parâmetros_Verm'!$F$34*'4.Parâmetros_Verm'!$G$34*'4.Parâmetros_Verm'!$H$34*'5.Mira'!$C$20*'6.Cibernético'!$C$24*'6.Cibernético'!$D$23*'8.MotorCalc'!$E$32)+('7.Config'!$C$12*'4.Parâmetros_Verm'!$D$43*'4.Parâmetros_Verm'!$F$43*'4.Parâmetros_Verm'!$G$43*'4.Parâmetros_Verm'!$H$43*'5.Mira'!$C$21*'6.Cibernético'!$C$24*'6.Cibernético'!$D$23*'8.MotorCalc'!$E$33)</f>
        <v>0.98354280906296221</v>
      </c>
      <c r="F41" s="69">
        <f>('7.Config'!$C$10*'4.Parâmetros_Verm'!$D$7*'4.Parâmetros_Verm'!$F$7*'4.Parâmetros_Verm'!$G$7*'4.Parâmetros_Verm'!$H$7*'5.Mira'!$C$17*'6.Cibernético'!$C$24*'6.Cibernético'!$D$23*'8.MotorCalc'!$F$29)+('7.Config'!$C$10*'4.Parâmetros_Verm'!$D$16*'4.Parâmetros_Verm'!$F$16*'4.Parâmetros_Verm'!$G$16*'4.Parâmetros_Verm'!$H$16*'5.Mira'!$C$18*'6.Cibernético'!$C$24*'6.Cibernético'!$D$23*'8.MotorCalc'!$F$30)+('7.Config'!$C$12*'4.Parâmetros_Verm'!$D$25*'4.Parâmetros_Verm'!$F$25*'4.Parâmetros_Verm'!$G$25*'4.Parâmetros_Verm'!$H$25*'5.Mira'!$C$19*'6.Cibernético'!$C$24*'6.Cibernético'!$D$23*'8.MotorCalc'!$F$31)+('7.Config'!$C$12*'4.Parâmetros_Verm'!$D$34*'4.Parâmetros_Verm'!$F$34*'4.Parâmetros_Verm'!$G$34*'4.Parâmetros_Verm'!$H$34*'5.Mira'!$C$20*'6.Cibernético'!$C$24*'6.Cibernético'!$D$23*'8.MotorCalc'!$F$32)+('7.Config'!$C$12*'4.Parâmetros_Verm'!$D$43*'4.Parâmetros_Verm'!$F$43*'4.Parâmetros_Verm'!$G$43*'4.Parâmetros_Verm'!$H$43*'5.Mira'!$C$21*'6.Cibernético'!$C$24*'6.Cibernético'!$D$23*'8.MotorCalc'!$F$33)</f>
        <v>0.97985876940236916</v>
      </c>
      <c r="G41" s="69">
        <f>('7.Config'!$C$10*'4.Parâmetros_Verm'!$D$7*'4.Parâmetros_Verm'!$F$7*'4.Parâmetros_Verm'!$G$7*'4.Parâmetros_Verm'!$H$7*'5.Mira'!$C$17*'6.Cibernético'!$C$24*'6.Cibernético'!$D$23*'8.MotorCalc'!$G$29)+('7.Config'!$C$10*'4.Parâmetros_Verm'!$D$16*'4.Parâmetros_Verm'!$F$16*'4.Parâmetros_Verm'!$G$16*'4.Parâmetros_Verm'!$H$16*'5.Mira'!$C$18*'6.Cibernético'!$C$24*'6.Cibernético'!$D$23*'8.MotorCalc'!$G$30)+('7.Config'!$C$12*'4.Parâmetros_Verm'!$D$25*'4.Parâmetros_Verm'!$F$25*'4.Parâmetros_Verm'!$G$25*'4.Parâmetros_Verm'!$H$25*'5.Mira'!$C$19*'6.Cibernético'!$C$24*'6.Cibernético'!$D$23*'8.MotorCalc'!$G$31)+('7.Config'!$C$12*'4.Parâmetros_Verm'!$D$34*'4.Parâmetros_Verm'!$F$34*'4.Parâmetros_Verm'!$G$34*'4.Parâmetros_Verm'!$H$34*'5.Mira'!$C$20*'6.Cibernético'!$C$24*'6.Cibernético'!$D$23*'8.MotorCalc'!$G$32)+('7.Config'!$C$12*'4.Parâmetros_Verm'!$D$43*'4.Parâmetros_Verm'!$F$43*'4.Parâmetros_Verm'!$G$43*'4.Parâmetros_Verm'!$H$43*'5.Mira'!$C$21*'6.Cibernético'!$C$24*'6.Cibernético'!$D$23*'8.MotorCalc'!$G$33)</f>
        <v>0.97615047060214011</v>
      </c>
      <c r="H41" s="69">
        <f>('7.Config'!$C$10*'4.Parâmetros_Verm'!$D$7*'4.Parâmetros_Verm'!$F$7*'4.Parâmetros_Verm'!$G$7*'4.Parâmetros_Verm'!$H$7*'5.Mira'!$C$17*'6.Cibernético'!$C$24*'6.Cibernético'!$D$23*'8.MotorCalc'!$H$29)+('7.Config'!$C$10*'4.Parâmetros_Verm'!$D$16*'4.Parâmetros_Verm'!$F$16*'4.Parâmetros_Verm'!$G$16*'4.Parâmetros_Verm'!$H$16*'5.Mira'!$C$18*'6.Cibernético'!$C$24*'6.Cibernético'!$D$23*'8.MotorCalc'!$H$30)+('7.Config'!$C$12*'4.Parâmetros_Verm'!$D$25*'4.Parâmetros_Verm'!$F$25*'4.Parâmetros_Verm'!$G$25*'4.Parâmetros_Verm'!$H$25*'5.Mira'!$C$19*'6.Cibernético'!$C$24*'6.Cibernético'!$D$23*'8.MotorCalc'!$H$31)+('7.Config'!$C$12*'4.Parâmetros_Verm'!$D$34*'4.Parâmetros_Verm'!$F$34*'4.Parâmetros_Verm'!$G$34*'4.Parâmetros_Verm'!$H$34*'5.Mira'!$C$20*'6.Cibernético'!$C$24*'6.Cibernético'!$D$23*'8.MotorCalc'!$H$32)+('7.Config'!$C$12*'4.Parâmetros_Verm'!$D$43*'4.Parâmetros_Verm'!$F$43*'4.Parâmetros_Verm'!$G$43*'4.Parâmetros_Verm'!$H$43*'5.Mira'!$C$21*'6.Cibernético'!$C$24*'6.Cibernético'!$D$23*'8.MotorCalc'!$H$33)</f>
        <v>0.97241764196703395</v>
      </c>
      <c r="I41" s="69">
        <f>('7.Config'!$C$10*'4.Parâmetros_Verm'!$D$7*'4.Parâmetros_Verm'!$F$7*'4.Parâmetros_Verm'!$G$7*'4.Parâmetros_Verm'!$H$7*'5.Mira'!$C$17*'6.Cibernético'!$C$24*'6.Cibernético'!$D$23*'8.MotorCalc'!$I$29)+('7.Config'!$C$10*'4.Parâmetros_Verm'!$D$16*'4.Parâmetros_Verm'!$F$16*'4.Parâmetros_Verm'!$G$16*'4.Parâmetros_Verm'!$H$16*'5.Mira'!$C$18*'6.Cibernético'!$C$24*'6.Cibernético'!$D$23*'8.MotorCalc'!$I$30)+('7.Config'!$C$12*'4.Parâmetros_Verm'!$D$25*'4.Parâmetros_Verm'!$F$25*'4.Parâmetros_Verm'!$G$25*'4.Parâmetros_Verm'!$H$25*'5.Mira'!$C$19*'6.Cibernético'!$C$24*'6.Cibernético'!$D$23*'8.MotorCalc'!$I$31)+('7.Config'!$C$12*'4.Parâmetros_Verm'!$D$34*'4.Parâmetros_Verm'!$F$34*'4.Parâmetros_Verm'!$G$34*'4.Parâmetros_Verm'!$H$34*'5.Mira'!$C$20*'6.Cibernético'!$C$24*'6.Cibernético'!$D$23*'8.MotorCalc'!$I$32)+('7.Config'!$C$12*'4.Parâmetros_Verm'!$D$43*'4.Parâmetros_Verm'!$F$43*'4.Parâmetros_Verm'!$G$43*'4.Parâmetros_Verm'!$H$43*'5.Mira'!$C$21*'6.Cibernético'!$C$24*'6.Cibernético'!$D$23*'8.MotorCalc'!$I$33)</f>
        <v>0.96866000913121864</v>
      </c>
      <c r="J41" s="69">
        <f>('7.Config'!$C$10*'4.Parâmetros_Verm'!$D$7*'4.Parâmetros_Verm'!$F$7*'4.Parâmetros_Verm'!$G$7*'4.Parâmetros_Verm'!$H$7*'5.Mira'!$C$17*'6.Cibernético'!$C$24*'6.Cibernético'!$D$23*'8.MotorCalc'!$J$29)+('7.Config'!$C$10*'4.Parâmetros_Verm'!$D$16*'4.Parâmetros_Verm'!$F$16*'4.Parâmetros_Verm'!$G$16*'4.Parâmetros_Verm'!$H$16*'5.Mira'!$C$18*'6.Cibernético'!$C$24*'6.Cibernético'!$D$23*'8.MotorCalc'!$J$30)+('7.Config'!$C$12*'4.Parâmetros_Verm'!$D$25*'4.Parâmetros_Verm'!$F$25*'4.Parâmetros_Verm'!$G$25*'4.Parâmetros_Verm'!$H$25*'5.Mira'!$C$19*'6.Cibernético'!$C$24*'6.Cibernético'!$D$23*'8.MotorCalc'!$J$31)+('7.Config'!$C$12*'4.Parâmetros_Verm'!$D$34*'4.Parâmetros_Verm'!$F$34*'4.Parâmetros_Verm'!$G$34*'4.Parâmetros_Verm'!$H$34*'5.Mira'!$C$20*'6.Cibernético'!$C$24*'6.Cibernético'!$D$23*'8.MotorCalc'!$J$32)+('7.Config'!$C$12*'4.Parâmetros_Verm'!$D$43*'4.Parâmetros_Verm'!$F$43*'4.Parâmetros_Verm'!$G$43*'4.Parâmetros_Verm'!$H$43*'5.Mira'!$C$21*'6.Cibernético'!$C$24*'6.Cibernético'!$D$23*'8.MotorCalc'!$J$33)</f>
        <v>0.96487729400430744</v>
      </c>
      <c r="K41" s="69">
        <f>('7.Config'!$C$10*'4.Parâmetros_Verm'!$D$7*'4.Parâmetros_Verm'!$F$7*'4.Parâmetros_Verm'!$G$7*'4.Parâmetros_Verm'!$H$7*'5.Mira'!$C$17*'6.Cibernético'!$C$24*'6.Cibernético'!$D$23*'8.MotorCalc'!$K$29)+('7.Config'!$C$10*'4.Parâmetros_Verm'!$D$16*'4.Parâmetros_Verm'!$F$16*'4.Parâmetros_Verm'!$G$16*'4.Parâmetros_Verm'!$H$16*'5.Mira'!$C$18*'6.Cibernético'!$C$24*'6.Cibernético'!$D$23*'8.MotorCalc'!$K$30)+('7.Config'!$C$12*'4.Parâmetros_Verm'!$D$25*'4.Parâmetros_Verm'!$F$25*'4.Parâmetros_Verm'!$G$25*'4.Parâmetros_Verm'!$H$25*'5.Mira'!$C$19*'6.Cibernético'!$C$24*'6.Cibernético'!$D$23*'8.MotorCalc'!$K$31)+('7.Config'!$C$12*'4.Parâmetros_Verm'!$D$34*'4.Parâmetros_Verm'!$F$34*'4.Parâmetros_Verm'!$G$34*'4.Parâmetros_Verm'!$H$34*'5.Mira'!$C$20*'6.Cibernético'!$C$24*'6.Cibernético'!$D$23*'8.MotorCalc'!$K$32)+('7.Config'!$C$12*'4.Parâmetros_Verm'!$D$43*'4.Parâmetros_Verm'!$F$43*'4.Parâmetros_Verm'!$G$43*'4.Parâmetros_Verm'!$H$43*'5.Mira'!$C$21*'6.Cibernético'!$C$24*'6.Cibernético'!$D$23*'8.MotorCalc'!$K$33)</f>
        <v>0.96106921471657303</v>
      </c>
      <c r="L41" s="69">
        <f>('7.Config'!$C$10*'4.Parâmetros_Verm'!$D$7*'4.Parâmetros_Verm'!$F$7*'4.Parâmetros_Verm'!$G$7*'4.Parâmetros_Verm'!$H$7*'5.Mira'!$C$17*'6.Cibernético'!$C$24*'6.Cibernético'!$D$23*'8.MotorCalc'!$L$29)+('7.Config'!$C$10*'4.Parâmetros_Verm'!$D$16*'4.Parâmetros_Verm'!$F$16*'4.Parâmetros_Verm'!$G$16*'4.Parâmetros_Verm'!$H$16*'5.Mira'!$C$18*'6.Cibernético'!$C$24*'6.Cibernético'!$D$23*'8.MotorCalc'!$L$30)+('7.Config'!$C$12*'4.Parâmetros_Verm'!$D$25*'4.Parâmetros_Verm'!$F$25*'4.Parâmetros_Verm'!$G$25*'4.Parâmetros_Verm'!$H$25*'5.Mira'!$C$19*'6.Cibernético'!$C$24*'6.Cibernético'!$D$23*'8.MotorCalc'!$L$31)+('7.Config'!$C$12*'4.Parâmetros_Verm'!$D$34*'4.Parâmetros_Verm'!$F$34*'4.Parâmetros_Verm'!$G$34*'4.Parâmetros_Verm'!$H$34*'5.Mira'!$C$20*'6.Cibernético'!$C$24*'6.Cibernético'!$D$23*'8.MotorCalc'!$L$32)+('7.Config'!$C$12*'4.Parâmetros_Verm'!$D$43*'4.Parâmetros_Verm'!$F$43*'4.Parâmetros_Verm'!$G$43*'4.Parâmetros_Verm'!$H$43*'5.Mira'!$C$21*'6.Cibernético'!$C$24*'6.Cibernético'!$D$23*'8.MotorCalc'!$L$33)</f>
        <v>0.95723548556333438</v>
      </c>
    </row>
    <row r="42" spans="1:12" x14ac:dyDescent="0.2">
      <c r="A42" s="68" t="s">
        <v>210</v>
      </c>
      <c r="B42" s="40" t="s">
        <v>82</v>
      </c>
      <c r="C42" s="69">
        <f>('7.Config'!$C$10*'4.Parâmetros_Verm'!$D$8*'4.Parâmetros_Verm'!$F$8*'4.Parâmetros_Verm'!$G$8*'4.Parâmetros_Verm'!$H$8*'5.Mira'!$D$17*'6.Cibernético'!$C$24*'6.Cibernético'!$D$23*'8.MotorCalc'!$C$29)+('7.Config'!$C$10*'4.Parâmetros_Verm'!$D$17*'4.Parâmetros_Verm'!$F$17*'4.Parâmetros_Verm'!$G$17*'4.Parâmetros_Verm'!$H$17*'5.Mira'!$D$18*'6.Cibernético'!$C$24*'6.Cibernético'!$D$23*'8.MotorCalc'!$C$30)+('7.Config'!$C$12*'4.Parâmetros_Verm'!$D$26*'4.Parâmetros_Verm'!$F$26*'4.Parâmetros_Verm'!$G$26*'4.Parâmetros_Verm'!$H$26*'5.Mira'!$D$19*'6.Cibernético'!$C$24*'6.Cibernético'!$D$23*'8.MotorCalc'!$C$31)+('7.Config'!$C$12*'4.Parâmetros_Verm'!$D$35*'4.Parâmetros_Verm'!$F$35*'4.Parâmetros_Verm'!$G$35*'4.Parâmetros_Verm'!$H$35*'5.Mira'!$D$20*'6.Cibernético'!$C$24*'6.Cibernético'!$D$23*'8.MotorCalc'!$C$32)+('7.Config'!$C$12*'4.Parâmetros_Verm'!$D$44*'4.Parâmetros_Verm'!$F$44*'4.Parâmetros_Verm'!$G$44*'4.Parâmetros_Verm'!$H$44*'5.Mira'!$D$21*'6.Cibernético'!$C$24*'6.Cibernético'!$D$23*'8.MotorCalc'!$C$33)</f>
        <v>0.99083923942774865</v>
      </c>
      <c r="D42" s="69">
        <f>('7.Config'!$C$10*'4.Parâmetros_Verm'!$D$8*'4.Parâmetros_Verm'!$F$8*'4.Parâmetros_Verm'!$G$8*'4.Parâmetros_Verm'!$H$8*'5.Mira'!$D$17*'6.Cibernético'!$C$24*'6.Cibernético'!$D$23*'8.MotorCalc'!$D$29)+('7.Config'!$C$10*'4.Parâmetros_Verm'!$D$17*'4.Parâmetros_Verm'!$F$17*'4.Parâmetros_Verm'!$G$17*'4.Parâmetros_Verm'!$H$17*'5.Mira'!$D$18*'6.Cibernético'!$C$24*'6.Cibernético'!$D$23*'8.MotorCalc'!$D$30)+('7.Config'!$C$12*'4.Parâmetros_Verm'!$D$26*'4.Parâmetros_Verm'!$F$26*'4.Parâmetros_Verm'!$G$26*'4.Parâmetros_Verm'!$H$26*'5.Mira'!$D$19*'6.Cibernético'!$C$24*'6.Cibernético'!$D$23*'8.MotorCalc'!$D$31)+('7.Config'!$C$12*'4.Parâmetros_Verm'!$D$35*'4.Parâmetros_Verm'!$F$35*'4.Parâmetros_Verm'!$G$35*'4.Parâmetros_Verm'!$H$35*'5.Mira'!$D$20*'6.Cibernético'!$C$24*'6.Cibernético'!$D$23*'8.MotorCalc'!$D$32)+('7.Config'!$C$12*'4.Parâmetros_Verm'!$D$44*'4.Parâmetros_Verm'!$F$44*'4.Parâmetros_Verm'!$G$44*'4.Parâmetros_Verm'!$H$44*'5.Mira'!$D$21*'6.Cibernético'!$C$24*'6.Cibernético'!$D$23*'8.MotorCalc'!$D$33)</f>
        <v>0.98720287220219627</v>
      </c>
      <c r="E42" s="69">
        <f>('7.Config'!$C$10*'4.Parâmetros_Verm'!$D$8*'4.Parâmetros_Verm'!$F$8*'4.Parâmetros_Verm'!$G$8*'4.Parâmetros_Verm'!$H$8*'5.Mira'!$D$17*'6.Cibernético'!$C$24*'6.Cibernético'!$D$23*'8.MotorCalc'!$E$29)+('7.Config'!$C$10*'4.Parâmetros_Verm'!$D$17*'4.Parâmetros_Verm'!$F$17*'4.Parâmetros_Verm'!$G$17*'4.Parâmetros_Verm'!$H$17*'5.Mira'!$D$18*'6.Cibernético'!$C$24*'6.Cibernético'!$D$23*'8.MotorCalc'!$E$30)+('7.Config'!$C$12*'4.Parâmetros_Verm'!$D$26*'4.Parâmetros_Verm'!$F$26*'4.Parâmetros_Verm'!$G$26*'4.Parâmetros_Verm'!$H$26*'5.Mira'!$D$19*'6.Cibernético'!$C$24*'6.Cibernético'!$D$23*'8.MotorCalc'!$E$31)+('7.Config'!$C$12*'4.Parâmetros_Verm'!$D$35*'4.Parâmetros_Verm'!$F$35*'4.Parâmetros_Verm'!$G$35*'4.Parâmetros_Verm'!$H$35*'5.Mira'!$D$20*'6.Cibernético'!$C$24*'6.Cibernético'!$D$23*'8.MotorCalc'!$E$32)+('7.Config'!$C$12*'4.Parâmetros_Verm'!$D$44*'4.Parâmetros_Verm'!$F$44*'4.Parâmetros_Verm'!$G$44*'4.Parâmetros_Verm'!$H$44*'5.Mira'!$D$21*'6.Cibernético'!$C$24*'6.Cibernético'!$D$23*'8.MotorCalc'!$E$33)</f>
        <v>0.98354280906296221</v>
      </c>
      <c r="F42" s="69">
        <f>('7.Config'!$C$10*'4.Parâmetros_Verm'!$D$8*'4.Parâmetros_Verm'!$F$8*'4.Parâmetros_Verm'!$G$8*'4.Parâmetros_Verm'!$H$8*'5.Mira'!$D$17*'6.Cibernético'!$C$24*'6.Cibernético'!$D$23*'8.MotorCalc'!$F$29)+('7.Config'!$C$10*'4.Parâmetros_Verm'!$D$17*'4.Parâmetros_Verm'!$F$17*'4.Parâmetros_Verm'!$G$17*'4.Parâmetros_Verm'!$H$17*'5.Mira'!$D$18*'6.Cibernético'!$C$24*'6.Cibernético'!$D$23*'8.MotorCalc'!$F$30)+('7.Config'!$C$12*'4.Parâmetros_Verm'!$D$26*'4.Parâmetros_Verm'!$F$26*'4.Parâmetros_Verm'!$G$26*'4.Parâmetros_Verm'!$H$26*'5.Mira'!$D$19*'6.Cibernético'!$C$24*'6.Cibernético'!$D$23*'8.MotorCalc'!$F$31)+('7.Config'!$C$12*'4.Parâmetros_Verm'!$D$35*'4.Parâmetros_Verm'!$F$35*'4.Parâmetros_Verm'!$G$35*'4.Parâmetros_Verm'!$H$35*'5.Mira'!$D$20*'6.Cibernético'!$C$24*'6.Cibernético'!$D$23*'8.MotorCalc'!$F$32)+('7.Config'!$C$12*'4.Parâmetros_Verm'!$D$44*'4.Parâmetros_Verm'!$F$44*'4.Parâmetros_Verm'!$G$44*'4.Parâmetros_Verm'!$H$44*'5.Mira'!$D$21*'6.Cibernético'!$C$24*'6.Cibernético'!$D$23*'8.MotorCalc'!$F$33)</f>
        <v>0.97985876940236916</v>
      </c>
      <c r="G42" s="69">
        <f>('7.Config'!$C$10*'4.Parâmetros_Verm'!$D$8*'4.Parâmetros_Verm'!$F$8*'4.Parâmetros_Verm'!$G$8*'4.Parâmetros_Verm'!$H$8*'5.Mira'!$D$17*'6.Cibernético'!$C$24*'6.Cibernético'!$D$23*'8.MotorCalc'!$G$29)+('7.Config'!$C$10*'4.Parâmetros_Verm'!$D$17*'4.Parâmetros_Verm'!$F$17*'4.Parâmetros_Verm'!$G$17*'4.Parâmetros_Verm'!$H$17*'5.Mira'!$D$18*'6.Cibernético'!$C$24*'6.Cibernético'!$D$23*'8.MotorCalc'!$G$30)+('7.Config'!$C$12*'4.Parâmetros_Verm'!$D$26*'4.Parâmetros_Verm'!$F$26*'4.Parâmetros_Verm'!$G$26*'4.Parâmetros_Verm'!$H$26*'5.Mira'!$D$19*'6.Cibernético'!$C$24*'6.Cibernético'!$D$23*'8.MotorCalc'!$G$31)+('7.Config'!$C$12*'4.Parâmetros_Verm'!$D$35*'4.Parâmetros_Verm'!$F$35*'4.Parâmetros_Verm'!$G$35*'4.Parâmetros_Verm'!$H$35*'5.Mira'!$D$20*'6.Cibernético'!$C$24*'6.Cibernético'!$D$23*'8.MotorCalc'!$G$32)+('7.Config'!$C$12*'4.Parâmetros_Verm'!$D$44*'4.Parâmetros_Verm'!$F$44*'4.Parâmetros_Verm'!$G$44*'4.Parâmetros_Verm'!$H$44*'5.Mira'!$D$21*'6.Cibernético'!$C$24*'6.Cibernético'!$D$23*'8.MotorCalc'!$G$33)</f>
        <v>0.97615047060214011</v>
      </c>
      <c r="H42" s="69">
        <f>('7.Config'!$C$10*'4.Parâmetros_Verm'!$D$8*'4.Parâmetros_Verm'!$F$8*'4.Parâmetros_Verm'!$G$8*'4.Parâmetros_Verm'!$H$8*'5.Mira'!$D$17*'6.Cibernético'!$C$24*'6.Cibernético'!$D$23*'8.MotorCalc'!$H$29)+('7.Config'!$C$10*'4.Parâmetros_Verm'!$D$17*'4.Parâmetros_Verm'!$F$17*'4.Parâmetros_Verm'!$G$17*'4.Parâmetros_Verm'!$H$17*'5.Mira'!$D$18*'6.Cibernético'!$C$24*'6.Cibernético'!$D$23*'8.MotorCalc'!$H$30)+('7.Config'!$C$12*'4.Parâmetros_Verm'!$D$26*'4.Parâmetros_Verm'!$F$26*'4.Parâmetros_Verm'!$G$26*'4.Parâmetros_Verm'!$H$26*'5.Mira'!$D$19*'6.Cibernético'!$C$24*'6.Cibernético'!$D$23*'8.MotorCalc'!$H$31)+('7.Config'!$C$12*'4.Parâmetros_Verm'!$D$35*'4.Parâmetros_Verm'!$F$35*'4.Parâmetros_Verm'!$G$35*'4.Parâmetros_Verm'!$H$35*'5.Mira'!$D$20*'6.Cibernético'!$C$24*'6.Cibernético'!$D$23*'8.MotorCalc'!$H$32)+('7.Config'!$C$12*'4.Parâmetros_Verm'!$D$44*'4.Parâmetros_Verm'!$F$44*'4.Parâmetros_Verm'!$G$44*'4.Parâmetros_Verm'!$H$44*'5.Mira'!$D$21*'6.Cibernético'!$C$24*'6.Cibernético'!$D$23*'8.MotorCalc'!$H$33)</f>
        <v>0.97241764196703395</v>
      </c>
      <c r="I42" s="69">
        <f>('7.Config'!$C$10*'4.Parâmetros_Verm'!$D$8*'4.Parâmetros_Verm'!$F$8*'4.Parâmetros_Verm'!$G$8*'4.Parâmetros_Verm'!$H$8*'5.Mira'!$D$17*'6.Cibernético'!$C$24*'6.Cibernético'!$D$23*'8.MotorCalc'!$I$29)+('7.Config'!$C$10*'4.Parâmetros_Verm'!$D$17*'4.Parâmetros_Verm'!$F$17*'4.Parâmetros_Verm'!$G$17*'4.Parâmetros_Verm'!$H$17*'5.Mira'!$D$18*'6.Cibernético'!$C$24*'6.Cibernético'!$D$23*'8.MotorCalc'!$I$30)+('7.Config'!$C$12*'4.Parâmetros_Verm'!$D$26*'4.Parâmetros_Verm'!$F$26*'4.Parâmetros_Verm'!$G$26*'4.Parâmetros_Verm'!$H$26*'5.Mira'!$D$19*'6.Cibernético'!$C$24*'6.Cibernético'!$D$23*'8.MotorCalc'!$I$31)+('7.Config'!$C$12*'4.Parâmetros_Verm'!$D$35*'4.Parâmetros_Verm'!$F$35*'4.Parâmetros_Verm'!$G$35*'4.Parâmetros_Verm'!$H$35*'5.Mira'!$D$20*'6.Cibernético'!$C$24*'6.Cibernético'!$D$23*'8.MotorCalc'!$I$32)+('7.Config'!$C$12*'4.Parâmetros_Verm'!$D$44*'4.Parâmetros_Verm'!$F$44*'4.Parâmetros_Verm'!$G$44*'4.Parâmetros_Verm'!$H$44*'5.Mira'!$D$21*'6.Cibernético'!$C$24*'6.Cibernético'!$D$23*'8.MotorCalc'!$I$33)</f>
        <v>0.96866000913121864</v>
      </c>
      <c r="J42" s="69">
        <f>('7.Config'!$C$10*'4.Parâmetros_Verm'!$D$8*'4.Parâmetros_Verm'!$F$8*'4.Parâmetros_Verm'!$G$8*'4.Parâmetros_Verm'!$H$8*'5.Mira'!$D$17*'6.Cibernético'!$C$24*'6.Cibernético'!$D$23*'8.MotorCalc'!$J$29)+('7.Config'!$C$10*'4.Parâmetros_Verm'!$D$17*'4.Parâmetros_Verm'!$F$17*'4.Parâmetros_Verm'!$G$17*'4.Parâmetros_Verm'!$H$17*'5.Mira'!$D$18*'6.Cibernético'!$C$24*'6.Cibernético'!$D$23*'8.MotorCalc'!$J$30)+('7.Config'!$C$12*'4.Parâmetros_Verm'!$D$26*'4.Parâmetros_Verm'!$F$26*'4.Parâmetros_Verm'!$G$26*'4.Parâmetros_Verm'!$H$26*'5.Mira'!$D$19*'6.Cibernético'!$C$24*'6.Cibernético'!$D$23*'8.MotorCalc'!$J$31)+('7.Config'!$C$12*'4.Parâmetros_Verm'!$D$35*'4.Parâmetros_Verm'!$F$35*'4.Parâmetros_Verm'!$G$35*'4.Parâmetros_Verm'!$H$35*'5.Mira'!$D$20*'6.Cibernético'!$C$24*'6.Cibernético'!$D$23*'8.MotorCalc'!$J$32)+('7.Config'!$C$12*'4.Parâmetros_Verm'!$D$44*'4.Parâmetros_Verm'!$F$44*'4.Parâmetros_Verm'!$G$44*'4.Parâmetros_Verm'!$H$44*'5.Mira'!$D$21*'6.Cibernético'!$C$24*'6.Cibernético'!$D$23*'8.MotorCalc'!$J$33)</f>
        <v>0.96487729400430744</v>
      </c>
      <c r="K42" s="69">
        <f>('7.Config'!$C$10*'4.Parâmetros_Verm'!$D$8*'4.Parâmetros_Verm'!$F$8*'4.Parâmetros_Verm'!$G$8*'4.Parâmetros_Verm'!$H$8*'5.Mira'!$D$17*'6.Cibernético'!$C$24*'6.Cibernético'!$D$23*'8.MotorCalc'!$K$29)+('7.Config'!$C$10*'4.Parâmetros_Verm'!$D$17*'4.Parâmetros_Verm'!$F$17*'4.Parâmetros_Verm'!$G$17*'4.Parâmetros_Verm'!$H$17*'5.Mira'!$D$18*'6.Cibernético'!$C$24*'6.Cibernético'!$D$23*'8.MotorCalc'!$K$30)+('7.Config'!$C$12*'4.Parâmetros_Verm'!$D$26*'4.Parâmetros_Verm'!$F$26*'4.Parâmetros_Verm'!$G$26*'4.Parâmetros_Verm'!$H$26*'5.Mira'!$D$19*'6.Cibernético'!$C$24*'6.Cibernético'!$D$23*'8.MotorCalc'!$K$31)+('7.Config'!$C$12*'4.Parâmetros_Verm'!$D$35*'4.Parâmetros_Verm'!$F$35*'4.Parâmetros_Verm'!$G$35*'4.Parâmetros_Verm'!$H$35*'5.Mira'!$D$20*'6.Cibernético'!$C$24*'6.Cibernético'!$D$23*'8.MotorCalc'!$K$32)+('7.Config'!$C$12*'4.Parâmetros_Verm'!$D$44*'4.Parâmetros_Verm'!$F$44*'4.Parâmetros_Verm'!$G$44*'4.Parâmetros_Verm'!$H$44*'5.Mira'!$D$21*'6.Cibernético'!$C$24*'6.Cibernético'!$D$23*'8.MotorCalc'!$K$33)</f>
        <v>0.96106921471657303</v>
      </c>
      <c r="L42" s="69">
        <f>('7.Config'!$C$10*'4.Parâmetros_Verm'!$D$8*'4.Parâmetros_Verm'!$F$8*'4.Parâmetros_Verm'!$G$8*'4.Parâmetros_Verm'!$H$8*'5.Mira'!$D$17*'6.Cibernético'!$C$24*'6.Cibernético'!$D$23*'8.MotorCalc'!$L$29)+('7.Config'!$C$10*'4.Parâmetros_Verm'!$D$17*'4.Parâmetros_Verm'!$F$17*'4.Parâmetros_Verm'!$G$17*'4.Parâmetros_Verm'!$H$17*'5.Mira'!$D$18*'6.Cibernético'!$C$24*'6.Cibernético'!$D$23*'8.MotorCalc'!$L$30)+('7.Config'!$C$12*'4.Parâmetros_Verm'!$D$26*'4.Parâmetros_Verm'!$F$26*'4.Parâmetros_Verm'!$G$26*'4.Parâmetros_Verm'!$H$26*'5.Mira'!$D$19*'6.Cibernético'!$C$24*'6.Cibernético'!$D$23*'8.MotorCalc'!$L$31)+('7.Config'!$C$12*'4.Parâmetros_Verm'!$D$35*'4.Parâmetros_Verm'!$F$35*'4.Parâmetros_Verm'!$G$35*'4.Parâmetros_Verm'!$H$35*'5.Mira'!$D$20*'6.Cibernético'!$C$24*'6.Cibernético'!$D$23*'8.MotorCalc'!$L$32)+('7.Config'!$C$12*'4.Parâmetros_Verm'!$D$44*'4.Parâmetros_Verm'!$F$44*'4.Parâmetros_Verm'!$G$44*'4.Parâmetros_Verm'!$H$44*'5.Mira'!$D$21*'6.Cibernético'!$C$24*'6.Cibernético'!$D$23*'8.MotorCalc'!$L$33)</f>
        <v>0.95723548556333438</v>
      </c>
    </row>
    <row r="43" spans="1:12" x14ac:dyDescent="0.2">
      <c r="A43" s="68" t="s">
        <v>210</v>
      </c>
      <c r="B43" s="40" t="s">
        <v>84</v>
      </c>
      <c r="C43" s="69">
        <f>('7.Config'!$D$10*'4.Parâmetros_Verm'!$D$9*'4.Parâmetros_Verm'!$F$9*'4.Parâmetros_Verm'!$G$9*'4.Parâmetros_Verm'!$H$9*'5.Mira'!$E$17*'6.Cibernético'!$C$24*'6.Cibernético'!$D$25*'8.MotorCalc'!$C$29)+('7.Config'!$D$10*'4.Parâmetros_Verm'!$D$18*'4.Parâmetros_Verm'!$F$18*'4.Parâmetros_Verm'!$G$18*'4.Parâmetros_Verm'!$H$18*'5.Mira'!$E$18*'6.Cibernético'!$C$24*'6.Cibernético'!$D$25*'8.MotorCalc'!$C$30)+('7.Config'!$D$12*'4.Parâmetros_Verm'!$D$27*'4.Parâmetros_Verm'!$F$27*'4.Parâmetros_Verm'!$G$27*'4.Parâmetros_Verm'!$H$27*'5.Mira'!$E$19*'6.Cibernético'!$C$24*'6.Cibernético'!$D$25*'8.MotorCalc'!$C$31)+('7.Config'!$D$12*'4.Parâmetros_Verm'!$D$36*'4.Parâmetros_Verm'!$F$36*'4.Parâmetros_Verm'!$G$36*'4.Parâmetros_Verm'!$H$36*'5.Mira'!$E$20*'6.Cibernético'!$C$24*'6.Cibernético'!$D$25*'8.MotorCalc'!$C$32)+('7.Config'!$D$12*'4.Parâmetros_Verm'!$D$45*'4.Parâmetros_Verm'!$F$45*'4.Parâmetros_Verm'!$G$45*'4.Parâmetros_Verm'!$H$45*'5.Mira'!$E$21*'6.Cibernético'!$C$24*'6.Cibernético'!$D$25*'8.MotorCalc'!$C$33)</f>
        <v>0.1308095074960916</v>
      </c>
      <c r="D43" s="69">
        <f>('7.Config'!$D$10*'4.Parâmetros_Verm'!$D$9*'4.Parâmetros_Verm'!$F$9*'4.Parâmetros_Verm'!$G$9*'4.Parâmetros_Verm'!$H$9*'5.Mira'!$E$17*'6.Cibernético'!$C$24*'6.Cibernético'!$D$25*'8.MotorCalc'!$D$29)+('7.Config'!$D$10*'4.Parâmetros_Verm'!$D$18*'4.Parâmetros_Verm'!$F$18*'4.Parâmetros_Verm'!$G$18*'4.Parâmetros_Verm'!$H$18*'5.Mira'!$E$18*'6.Cibernético'!$C$24*'6.Cibernético'!$D$25*'8.MotorCalc'!$D$30)+('7.Config'!$D$12*'4.Parâmetros_Verm'!$D$27*'4.Parâmetros_Verm'!$F$27*'4.Parâmetros_Verm'!$G$27*'4.Parâmetros_Verm'!$H$27*'5.Mira'!$E$19*'6.Cibernético'!$C$24*'6.Cibernético'!$D$25*'8.MotorCalc'!$D$31)+('7.Config'!$D$12*'4.Parâmetros_Verm'!$D$36*'4.Parâmetros_Verm'!$F$36*'4.Parâmetros_Verm'!$G$36*'4.Parâmetros_Verm'!$H$36*'5.Mira'!$E$20*'6.Cibernético'!$C$24*'6.Cibernético'!$D$25*'8.MotorCalc'!$D$32)+('7.Config'!$D$12*'4.Parâmetros_Verm'!$D$45*'4.Parâmetros_Verm'!$F$45*'4.Parâmetros_Verm'!$G$45*'4.Parâmetros_Verm'!$H$45*'5.Mira'!$E$21*'6.Cibernético'!$C$24*'6.Cibernético'!$D$25*'8.MotorCalc'!$D$33)</f>
        <v>0.1301095068051728</v>
      </c>
      <c r="E43" s="69">
        <f>('7.Config'!$D$10*'4.Parâmetros_Verm'!$D$9*'4.Parâmetros_Verm'!$F$9*'4.Parâmetros_Verm'!$G$9*'4.Parâmetros_Verm'!$H$9*'5.Mira'!$E$17*'6.Cibernético'!$C$24*'6.Cibernético'!$D$25*'8.MotorCalc'!$E$29)+('7.Config'!$D$10*'4.Parâmetros_Verm'!$D$18*'4.Parâmetros_Verm'!$F$18*'4.Parâmetros_Verm'!$G$18*'4.Parâmetros_Verm'!$H$18*'5.Mira'!$E$18*'6.Cibernético'!$C$24*'6.Cibernético'!$D$25*'8.MotorCalc'!$E$30)+('7.Config'!$D$12*'4.Parâmetros_Verm'!$D$27*'4.Parâmetros_Verm'!$F$27*'4.Parâmetros_Verm'!$G$27*'4.Parâmetros_Verm'!$H$27*'5.Mira'!$E$19*'6.Cibernético'!$C$24*'6.Cibernético'!$D$25*'8.MotorCalc'!$E$31)+('7.Config'!$D$12*'4.Parâmetros_Verm'!$D$36*'4.Parâmetros_Verm'!$F$36*'4.Parâmetros_Verm'!$G$36*'4.Parâmetros_Verm'!$H$36*'5.Mira'!$E$20*'6.Cibernético'!$C$24*'6.Cibernético'!$D$25*'8.MotorCalc'!$E$32)+('7.Config'!$D$12*'4.Parâmetros_Verm'!$D$45*'4.Parâmetros_Verm'!$F$45*'4.Parâmetros_Verm'!$G$45*'4.Parâmetros_Verm'!$H$45*'5.Mira'!$E$21*'6.Cibernético'!$C$24*'6.Cibernético'!$D$25*'8.MotorCalc'!$E$33)</f>
        <v>0.12940494465087021</v>
      </c>
      <c r="F43" s="69">
        <f>('7.Config'!$D$10*'4.Parâmetros_Verm'!$D$9*'4.Parâmetros_Verm'!$F$9*'4.Parâmetros_Verm'!$G$9*'4.Parâmetros_Verm'!$H$9*'5.Mira'!$E$17*'6.Cibernético'!$C$24*'6.Cibernético'!$D$25*'8.MotorCalc'!$F$29)+('7.Config'!$D$10*'4.Parâmetros_Verm'!$D$18*'4.Parâmetros_Verm'!$F$18*'4.Parâmetros_Verm'!$G$18*'4.Parâmetros_Verm'!$H$18*'5.Mira'!$E$18*'6.Cibernético'!$C$24*'6.Cibernético'!$D$25*'8.MotorCalc'!$F$30)+('7.Config'!$D$12*'4.Parâmetros_Verm'!$D$27*'4.Parâmetros_Verm'!$F$27*'4.Parâmetros_Verm'!$G$27*'4.Parâmetros_Verm'!$H$27*'5.Mira'!$E$19*'6.Cibernético'!$C$24*'6.Cibernético'!$D$25*'8.MotorCalc'!$F$31)+('7.Config'!$D$12*'4.Parâmetros_Verm'!$D$36*'4.Parâmetros_Verm'!$F$36*'4.Parâmetros_Verm'!$G$36*'4.Parâmetros_Verm'!$H$36*'5.Mira'!$E$20*'6.Cibernético'!$C$24*'6.Cibernético'!$D$25*'8.MotorCalc'!$F$32)+('7.Config'!$D$12*'4.Parâmetros_Verm'!$D$45*'4.Parâmetros_Verm'!$F$45*'4.Parâmetros_Verm'!$G$45*'4.Parâmetros_Verm'!$H$45*'5.Mira'!$E$21*'6.Cibernético'!$C$24*'6.Cibernético'!$D$25*'8.MotorCalc'!$F$33)</f>
        <v>0.12869576701620605</v>
      </c>
      <c r="G43" s="69">
        <f>('7.Config'!$D$10*'4.Parâmetros_Verm'!$D$9*'4.Parâmetros_Verm'!$F$9*'4.Parâmetros_Verm'!$G$9*'4.Parâmetros_Verm'!$H$9*'5.Mira'!$E$17*'6.Cibernético'!$C$24*'6.Cibernético'!$D$25*'8.MotorCalc'!$G$29)+('7.Config'!$D$10*'4.Parâmetros_Verm'!$D$18*'4.Parâmetros_Verm'!$F$18*'4.Parâmetros_Verm'!$G$18*'4.Parâmetros_Verm'!$H$18*'5.Mira'!$E$18*'6.Cibernético'!$C$24*'6.Cibernético'!$D$25*'8.MotorCalc'!$G$30)+('7.Config'!$D$12*'4.Parâmetros_Verm'!$D$27*'4.Parâmetros_Verm'!$F$27*'4.Parâmetros_Verm'!$G$27*'4.Parâmetros_Verm'!$H$27*'5.Mira'!$E$19*'6.Cibernético'!$C$24*'6.Cibernético'!$D$25*'8.MotorCalc'!$G$31)+('7.Config'!$D$12*'4.Parâmetros_Verm'!$D$36*'4.Parâmetros_Verm'!$F$36*'4.Parâmetros_Verm'!$G$36*'4.Parâmetros_Verm'!$H$36*'5.Mira'!$E$20*'6.Cibernético'!$C$24*'6.Cibernético'!$D$25*'8.MotorCalc'!$G$32)+('7.Config'!$D$12*'4.Parâmetros_Verm'!$D$45*'4.Parâmetros_Verm'!$F$45*'4.Parâmetros_Verm'!$G$45*'4.Parâmetros_Verm'!$H$45*'5.Mira'!$E$21*'6.Cibernético'!$C$24*'6.Cibernético'!$D$25*'8.MotorCalc'!$G$33)</f>
        <v>0.12798191949716198</v>
      </c>
      <c r="H43" s="69">
        <f>('7.Config'!$D$10*'4.Parâmetros_Verm'!$D$9*'4.Parâmetros_Verm'!$F$9*'4.Parâmetros_Verm'!$G$9*'4.Parâmetros_Verm'!$H$9*'5.Mira'!$E$17*'6.Cibernético'!$C$24*'6.Cibernético'!$D$25*'8.MotorCalc'!$H$29)+('7.Config'!$D$10*'4.Parâmetros_Verm'!$D$18*'4.Parâmetros_Verm'!$F$18*'4.Parâmetros_Verm'!$G$18*'4.Parâmetros_Verm'!$H$18*'5.Mira'!$E$18*'6.Cibernético'!$C$24*'6.Cibernético'!$D$25*'8.MotorCalc'!$H$30)+('7.Config'!$D$12*'4.Parâmetros_Verm'!$D$27*'4.Parâmetros_Verm'!$F$27*'4.Parâmetros_Verm'!$G$27*'4.Parâmetros_Verm'!$H$27*'5.Mira'!$E$19*'6.Cibernético'!$C$24*'6.Cibernético'!$D$25*'8.MotorCalc'!$H$31)+('7.Config'!$D$12*'4.Parâmetros_Verm'!$D$36*'4.Parâmetros_Verm'!$F$36*'4.Parâmetros_Verm'!$G$36*'4.Parâmetros_Verm'!$H$36*'5.Mira'!$E$20*'6.Cibernético'!$C$24*'6.Cibernético'!$D$25*'8.MotorCalc'!$H$32)+('7.Config'!$D$12*'4.Parâmetros_Verm'!$D$45*'4.Parâmetros_Verm'!$F$45*'4.Parâmetros_Verm'!$G$45*'4.Parâmetros_Verm'!$H$45*'5.Mira'!$E$21*'6.Cibernético'!$C$24*'6.Cibernético'!$D$25*'8.MotorCalc'!$H$33)</f>
        <v>0.12726334998490402</v>
      </c>
      <c r="I43" s="69">
        <f>('7.Config'!$D$10*'4.Parâmetros_Verm'!$D$9*'4.Parâmetros_Verm'!$F$9*'4.Parâmetros_Verm'!$G$9*'4.Parâmetros_Verm'!$H$9*'5.Mira'!$E$17*'6.Cibernético'!$C$24*'6.Cibernético'!$D$25*'8.MotorCalc'!$I$29)+('7.Config'!$D$10*'4.Parâmetros_Verm'!$D$18*'4.Parâmetros_Verm'!$F$18*'4.Parâmetros_Verm'!$G$18*'4.Parâmetros_Verm'!$H$18*'5.Mira'!$E$18*'6.Cibernético'!$C$24*'6.Cibernético'!$D$25*'8.MotorCalc'!$I$30)+('7.Config'!$D$12*'4.Parâmetros_Verm'!$D$27*'4.Parâmetros_Verm'!$F$27*'4.Parâmetros_Verm'!$G$27*'4.Parâmetros_Verm'!$H$27*'5.Mira'!$E$19*'6.Cibernético'!$C$24*'6.Cibernético'!$D$25*'8.MotorCalc'!$I$31)+('7.Config'!$D$12*'4.Parâmetros_Verm'!$D$36*'4.Parâmetros_Verm'!$F$36*'4.Parâmetros_Verm'!$G$36*'4.Parâmetros_Verm'!$H$36*'5.Mira'!$E$20*'6.Cibernético'!$C$24*'6.Cibernético'!$D$25*'8.MotorCalc'!$I$32)+('7.Config'!$D$12*'4.Parâmetros_Verm'!$D$45*'4.Parâmetros_Verm'!$F$45*'4.Parâmetros_Verm'!$G$45*'4.Parâmetros_Verm'!$H$45*'5.Mira'!$E$21*'6.Cibernético'!$C$24*'6.Cibernético'!$D$25*'8.MotorCalc'!$I$33)</f>
        <v>0.12654000566400964</v>
      </c>
      <c r="J43" s="69">
        <f>('7.Config'!$D$10*'4.Parâmetros_Verm'!$D$9*'4.Parâmetros_Verm'!$F$9*'4.Parâmetros_Verm'!$G$9*'4.Parâmetros_Verm'!$H$9*'5.Mira'!$E$17*'6.Cibernético'!$C$24*'6.Cibernético'!$D$25*'8.MotorCalc'!$J$29)+('7.Config'!$D$10*'4.Parâmetros_Verm'!$D$18*'4.Parâmetros_Verm'!$F$18*'4.Parâmetros_Verm'!$G$18*'4.Parâmetros_Verm'!$H$18*'5.Mira'!$E$18*'6.Cibernético'!$C$24*'6.Cibernético'!$D$25*'8.MotorCalc'!$J$30)+('7.Config'!$D$12*'4.Parâmetros_Verm'!$D$27*'4.Parâmetros_Verm'!$F$27*'4.Parâmetros_Verm'!$G$27*'4.Parâmetros_Verm'!$H$27*'5.Mira'!$E$19*'6.Cibernético'!$C$24*'6.Cibernético'!$D$25*'8.MotorCalc'!$J$31)+('7.Config'!$D$12*'4.Parâmetros_Verm'!$D$36*'4.Parâmetros_Verm'!$F$36*'4.Parâmetros_Verm'!$G$36*'4.Parâmetros_Verm'!$H$36*'5.Mira'!$E$20*'6.Cibernético'!$C$24*'6.Cibernético'!$D$25*'8.MotorCalc'!$J$32)+('7.Config'!$D$12*'4.Parâmetros_Verm'!$D$45*'4.Parâmetros_Verm'!$F$45*'4.Parâmetros_Verm'!$G$45*'4.Parâmetros_Verm'!$H$45*'5.Mira'!$E$21*'6.Cibernético'!$C$24*'6.Cibernético'!$D$25*'8.MotorCalc'!$J$33)</f>
        <v>0.12581183300207921</v>
      </c>
      <c r="K43" s="69">
        <f>('7.Config'!$D$10*'4.Parâmetros_Verm'!$D$9*'4.Parâmetros_Verm'!$F$9*'4.Parâmetros_Verm'!$G$9*'4.Parâmetros_Verm'!$H$9*'5.Mira'!$E$17*'6.Cibernético'!$C$24*'6.Cibernético'!$D$25*'8.MotorCalc'!$K$29)+('7.Config'!$D$10*'4.Parâmetros_Verm'!$D$18*'4.Parâmetros_Verm'!$F$18*'4.Parâmetros_Verm'!$G$18*'4.Parâmetros_Verm'!$H$18*'5.Mira'!$E$18*'6.Cibernético'!$C$24*'6.Cibernético'!$D$25*'8.MotorCalc'!$K$30)+('7.Config'!$D$12*'4.Parâmetros_Verm'!$D$27*'4.Parâmetros_Verm'!$F$27*'4.Parâmetros_Verm'!$G$27*'4.Parâmetros_Verm'!$H$27*'5.Mira'!$E$19*'6.Cibernético'!$C$24*'6.Cibernético'!$D$25*'8.MotorCalc'!$K$31)+('7.Config'!$D$12*'4.Parâmetros_Verm'!$D$36*'4.Parâmetros_Verm'!$F$36*'4.Parâmetros_Verm'!$G$36*'4.Parâmetros_Verm'!$H$36*'5.Mira'!$E$20*'6.Cibernético'!$C$24*'6.Cibernético'!$D$25*'8.MotorCalc'!$K$32)+('7.Config'!$D$12*'4.Parâmetros_Verm'!$D$45*'4.Parâmetros_Verm'!$F$45*'4.Parâmetros_Verm'!$G$45*'4.Parâmetros_Verm'!$H$45*'5.Mira'!$E$21*'6.Cibernético'!$C$24*'6.Cibernético'!$D$25*'8.MotorCalc'!$K$33)</f>
        <v>0.12507877773919035</v>
      </c>
      <c r="L43" s="69">
        <f>('7.Config'!$D$10*'4.Parâmetros_Verm'!$D$9*'4.Parâmetros_Verm'!$F$9*'4.Parâmetros_Verm'!$G$9*'4.Parâmetros_Verm'!$H$9*'5.Mira'!$E$17*'6.Cibernético'!$C$24*'6.Cibernético'!$D$25*'8.MotorCalc'!$L$29)+('7.Config'!$D$10*'4.Parâmetros_Verm'!$D$18*'4.Parâmetros_Verm'!$F$18*'4.Parâmetros_Verm'!$G$18*'4.Parâmetros_Verm'!$H$18*'5.Mira'!$E$18*'6.Cibernético'!$C$24*'6.Cibernético'!$D$25*'8.MotorCalc'!$L$30)+('7.Config'!$D$12*'4.Parâmetros_Verm'!$D$27*'4.Parâmetros_Verm'!$F$27*'4.Parâmetros_Verm'!$G$27*'4.Parâmetros_Verm'!$H$27*'5.Mira'!$E$19*'6.Cibernético'!$C$24*'6.Cibernético'!$D$25*'8.MotorCalc'!$L$31)+('7.Config'!$D$12*'4.Parâmetros_Verm'!$D$36*'4.Parâmetros_Verm'!$F$36*'4.Parâmetros_Verm'!$G$36*'4.Parâmetros_Verm'!$H$36*'5.Mira'!$E$20*'6.Cibernético'!$C$24*'6.Cibernético'!$D$25*'8.MotorCalc'!$L$32)+('7.Config'!$D$12*'4.Parâmetros_Verm'!$D$45*'4.Parâmetros_Verm'!$F$45*'4.Parâmetros_Verm'!$G$45*'4.Parâmetros_Verm'!$H$45*'5.Mira'!$E$21*'6.Cibernético'!$C$24*'6.Cibernético'!$D$25*'8.MotorCalc'!$L$33)</f>
        <v>0.12434078487719187</v>
      </c>
    </row>
    <row r="44" spans="1:12" x14ac:dyDescent="0.2">
      <c r="A44" s="68" t="s">
        <v>210</v>
      </c>
      <c r="B44" s="40" t="s">
        <v>88</v>
      </c>
      <c r="C44" s="69">
        <f>('7.Config'!$E$10*'4.Parâmetros_Verm'!$D$10*'4.Parâmetros_Verm'!$F$10*'4.Parâmetros_Verm'!$G$10*'4.Parâmetros_Verm'!$H$10*'5.Mira'!$F$17*'6.Cibernético'!$C$24*'6.Cibernético'!$D$23*'8.MotorCalc'!$C$29)+('7.Config'!$E$10*'4.Parâmetros_Verm'!$D$19*'4.Parâmetros_Verm'!$F$19*'4.Parâmetros_Verm'!$G$19*'4.Parâmetros_Verm'!$H$19*'5.Mira'!$F$18*'6.Cibernético'!$C$24*'6.Cibernético'!$D$23*'8.MotorCalc'!$C$30)+('7.Config'!$E$12*'4.Parâmetros_Verm'!$D$28*'4.Parâmetros_Verm'!$F$28*'4.Parâmetros_Verm'!$G$28*'4.Parâmetros_Verm'!$H$28*'5.Mira'!$F$19*'6.Cibernético'!$C$24*'6.Cibernético'!$D$23*'8.MotorCalc'!$C$31)+('7.Config'!$E$12*'4.Parâmetros_Verm'!$D$37*'4.Parâmetros_Verm'!$F$37*'4.Parâmetros_Verm'!$G$37*'4.Parâmetros_Verm'!$H$37*'5.Mira'!$F$20*'6.Cibernético'!$C$24*'6.Cibernético'!$D$23*'8.MotorCalc'!$C$32)+('7.Config'!$E$12*'4.Parâmetros_Verm'!$D$46*'4.Parâmetros_Verm'!$F$46*'4.Parâmetros_Verm'!$G$46*'4.Parâmetros_Verm'!$H$46*'5.Mira'!$F$21*'6.Cibernético'!$C$24*'6.Cibernético'!$D$23*'8.MotorCalc'!$C$33)</f>
        <v>0.39526308521838993</v>
      </c>
      <c r="D44" s="69">
        <f>('7.Config'!$E$10*'4.Parâmetros_Verm'!$D$10*'4.Parâmetros_Verm'!$F$10*'4.Parâmetros_Verm'!$G$10*'4.Parâmetros_Verm'!$H$10*'5.Mira'!$F$17*'6.Cibernético'!$C$24*'6.Cibernético'!$D$23*'8.MotorCalc'!$D$29)+('7.Config'!$E$10*'4.Parâmetros_Verm'!$D$19*'4.Parâmetros_Verm'!$F$19*'4.Parâmetros_Verm'!$G$19*'4.Parâmetros_Verm'!$H$19*'5.Mira'!$F$18*'6.Cibernético'!$C$24*'6.Cibernético'!$D$23*'8.MotorCalc'!$D$30)+('7.Config'!$E$12*'4.Parâmetros_Verm'!$D$28*'4.Parâmetros_Verm'!$F$28*'4.Parâmetros_Verm'!$G$28*'4.Parâmetros_Verm'!$H$28*'5.Mira'!$F$19*'6.Cibernético'!$C$24*'6.Cibernético'!$D$23*'8.MotorCalc'!$D$31)+('7.Config'!$E$12*'4.Parâmetros_Verm'!$D$37*'4.Parâmetros_Verm'!$F$37*'4.Parâmetros_Verm'!$G$37*'4.Parâmetros_Verm'!$H$37*'5.Mira'!$F$20*'6.Cibernético'!$C$24*'6.Cibernético'!$D$23*'8.MotorCalc'!$D$32)+('7.Config'!$E$12*'4.Parâmetros_Verm'!$D$46*'4.Parâmetros_Verm'!$F$46*'4.Parâmetros_Verm'!$G$46*'4.Parâmetros_Verm'!$H$46*'5.Mira'!$F$21*'6.Cibernético'!$C$24*'6.Cibernético'!$D$23*'8.MotorCalc'!$D$33)</f>
        <v>0.39367217455721076</v>
      </c>
      <c r="E44" s="69">
        <f>('7.Config'!$E$10*'4.Parâmetros_Verm'!$D$10*'4.Parâmetros_Verm'!$F$10*'4.Parâmetros_Verm'!$G$10*'4.Parâmetros_Verm'!$H$10*'5.Mira'!$F$17*'6.Cibernético'!$C$24*'6.Cibernético'!$D$23*'8.MotorCalc'!$E$29)+('7.Config'!$E$10*'4.Parâmetros_Verm'!$D$19*'4.Parâmetros_Verm'!$F$19*'4.Parâmetros_Verm'!$G$19*'4.Parâmetros_Verm'!$H$19*'5.Mira'!$F$18*'6.Cibernético'!$C$24*'6.Cibernético'!$D$23*'8.MotorCalc'!$E$30)+('7.Config'!$E$12*'4.Parâmetros_Verm'!$D$28*'4.Parâmetros_Verm'!$F$28*'4.Parâmetros_Verm'!$G$28*'4.Parâmetros_Verm'!$H$28*'5.Mira'!$F$19*'6.Cibernético'!$C$24*'6.Cibernético'!$D$23*'8.MotorCalc'!$E$31)+('7.Config'!$E$12*'4.Parâmetros_Verm'!$D$37*'4.Parâmetros_Verm'!$F$37*'4.Parâmetros_Verm'!$G$37*'4.Parâmetros_Verm'!$H$37*'5.Mira'!$F$20*'6.Cibernético'!$C$24*'6.Cibernético'!$D$23*'8.MotorCalc'!$E$32)+('7.Config'!$E$12*'4.Parâmetros_Verm'!$D$46*'4.Parâmetros_Verm'!$F$46*'4.Parâmetros_Verm'!$G$46*'4.Parâmetros_Verm'!$H$46*'5.Mira'!$F$21*'6.Cibernético'!$C$24*'6.Cibernético'!$D$23*'8.MotorCalc'!$E$33)</f>
        <v>0.39207089693379588</v>
      </c>
      <c r="F44" s="69">
        <f>('7.Config'!$E$10*'4.Parâmetros_Verm'!$D$10*'4.Parâmetros_Verm'!$F$10*'4.Parâmetros_Verm'!$G$10*'4.Parâmetros_Verm'!$H$10*'5.Mira'!$F$17*'6.Cibernético'!$C$24*'6.Cibernético'!$D$23*'8.MotorCalc'!$F$29)+('7.Config'!$E$10*'4.Parâmetros_Verm'!$D$19*'4.Parâmetros_Verm'!$F$19*'4.Parâmetros_Verm'!$G$19*'4.Parâmetros_Verm'!$H$19*'5.Mira'!$F$18*'6.Cibernético'!$C$24*'6.Cibernético'!$D$23*'8.MotorCalc'!$F$30)+('7.Config'!$E$12*'4.Parâmetros_Verm'!$D$28*'4.Parâmetros_Verm'!$F$28*'4.Parâmetros_Verm'!$G$28*'4.Parâmetros_Verm'!$H$28*'5.Mira'!$F$19*'6.Cibernético'!$C$24*'6.Cibernético'!$D$23*'8.MotorCalc'!$F$31)+('7.Config'!$E$12*'4.Parâmetros_Verm'!$D$37*'4.Parâmetros_Verm'!$F$37*'4.Parâmetros_Verm'!$G$37*'4.Parâmetros_Verm'!$H$37*'5.Mira'!$F$20*'6.Cibernético'!$C$24*'6.Cibernético'!$D$23*'8.MotorCalc'!$F$32)+('7.Config'!$E$12*'4.Parâmetros_Verm'!$D$46*'4.Parâmetros_Verm'!$F$46*'4.Parâmetros_Verm'!$G$46*'4.Parâmetros_Verm'!$H$46*'5.Mira'!$F$21*'6.Cibernético'!$C$24*'6.Cibernético'!$D$23*'8.MotorCalc'!$F$33)</f>
        <v>0.39045912958228646</v>
      </c>
      <c r="G44" s="69">
        <f>('7.Config'!$E$10*'4.Parâmetros_Verm'!$D$10*'4.Parâmetros_Verm'!$F$10*'4.Parâmetros_Verm'!$G$10*'4.Parâmetros_Verm'!$H$10*'5.Mira'!$F$17*'6.Cibernético'!$C$24*'6.Cibernético'!$D$23*'8.MotorCalc'!$G$29)+('7.Config'!$E$10*'4.Parâmetros_Verm'!$D$19*'4.Parâmetros_Verm'!$F$19*'4.Parâmetros_Verm'!$G$19*'4.Parâmetros_Verm'!$H$19*'5.Mira'!$F$18*'6.Cibernético'!$C$24*'6.Cibernético'!$D$23*'8.MotorCalc'!$G$30)+('7.Config'!$E$12*'4.Parâmetros_Verm'!$D$28*'4.Parâmetros_Verm'!$F$28*'4.Parâmetros_Verm'!$G$28*'4.Parâmetros_Verm'!$H$28*'5.Mira'!$F$19*'6.Cibernético'!$C$24*'6.Cibernético'!$D$23*'8.MotorCalc'!$G$31)+('7.Config'!$E$12*'4.Parâmetros_Verm'!$D$37*'4.Parâmetros_Verm'!$F$37*'4.Parâmetros_Verm'!$G$37*'4.Parâmetros_Verm'!$H$37*'5.Mira'!$F$20*'6.Cibernético'!$C$24*'6.Cibernético'!$D$23*'8.MotorCalc'!$G$32)+('7.Config'!$E$12*'4.Parâmetros_Verm'!$D$46*'4.Parâmetros_Verm'!$F$46*'4.Parâmetros_Verm'!$G$46*'4.Parâmetros_Verm'!$H$46*'5.Mira'!$F$21*'6.Cibernético'!$C$24*'6.Cibernético'!$D$23*'8.MotorCalc'!$G$33)</f>
        <v>0.38883674885718622</v>
      </c>
      <c r="H44" s="69">
        <f>('7.Config'!$E$10*'4.Parâmetros_Verm'!$D$10*'4.Parâmetros_Verm'!$F$10*'4.Parâmetros_Verm'!$G$10*'4.Parâmetros_Verm'!$H$10*'5.Mira'!$F$17*'6.Cibernético'!$C$24*'6.Cibernético'!$D$23*'8.MotorCalc'!$H$29)+('7.Config'!$E$10*'4.Parâmetros_Verm'!$D$19*'4.Parâmetros_Verm'!$F$19*'4.Parâmetros_Verm'!$G$19*'4.Parâmetros_Verm'!$H$19*'5.Mira'!$F$18*'6.Cibernético'!$C$24*'6.Cibernético'!$D$23*'8.MotorCalc'!$H$30)+('7.Config'!$E$12*'4.Parâmetros_Verm'!$D$28*'4.Parâmetros_Verm'!$F$28*'4.Parâmetros_Verm'!$G$28*'4.Parâmetros_Verm'!$H$28*'5.Mira'!$F$19*'6.Cibernético'!$C$24*'6.Cibernético'!$D$23*'8.MotorCalc'!$H$31)+('7.Config'!$E$12*'4.Parâmetros_Verm'!$D$37*'4.Parâmetros_Verm'!$F$37*'4.Parâmetros_Verm'!$G$37*'4.Parâmetros_Verm'!$H$37*'5.Mira'!$F$20*'6.Cibernético'!$C$24*'6.Cibernético'!$D$23*'8.MotorCalc'!$H$32)+('7.Config'!$E$12*'4.Parâmetros_Verm'!$D$46*'4.Parâmetros_Verm'!$F$46*'4.Parâmetros_Verm'!$G$46*'4.Parâmetros_Verm'!$H$46*'5.Mira'!$F$21*'6.Cibernético'!$C$24*'6.Cibernético'!$D$23*'8.MotorCalc'!$H$33)</f>
        <v>0.38720363632932725</v>
      </c>
      <c r="I44" s="69">
        <f>('7.Config'!$E$10*'4.Parâmetros_Verm'!$D$10*'4.Parâmetros_Verm'!$F$10*'4.Parâmetros_Verm'!$G$10*'4.Parâmetros_Verm'!$H$10*'5.Mira'!$F$17*'6.Cibernético'!$C$24*'6.Cibernético'!$D$23*'8.MotorCalc'!$I$29)+('7.Config'!$E$10*'4.Parâmetros_Verm'!$D$19*'4.Parâmetros_Verm'!$F$19*'4.Parâmetros_Verm'!$G$19*'4.Parâmetros_Verm'!$H$19*'5.Mira'!$F$18*'6.Cibernético'!$C$24*'6.Cibernético'!$D$23*'8.MotorCalc'!$I$30)+('7.Config'!$E$12*'4.Parâmetros_Verm'!$D$28*'4.Parâmetros_Verm'!$F$28*'4.Parâmetros_Verm'!$G$28*'4.Parâmetros_Verm'!$H$28*'5.Mira'!$F$19*'6.Cibernético'!$C$24*'6.Cibernético'!$D$23*'8.MotorCalc'!$I$31)+('7.Config'!$E$12*'4.Parâmetros_Verm'!$D$37*'4.Parâmetros_Verm'!$F$37*'4.Parâmetros_Verm'!$G$37*'4.Parâmetros_Verm'!$H$37*'5.Mira'!$F$20*'6.Cibernético'!$C$24*'6.Cibernético'!$D$23*'8.MotorCalc'!$I$32)+('7.Config'!$E$12*'4.Parâmetros_Verm'!$D$46*'4.Parâmetros_Verm'!$F$46*'4.Parâmetros_Verm'!$G$46*'4.Parâmetros_Verm'!$H$46*'5.Mira'!$F$21*'6.Cibernético'!$C$24*'6.Cibernético'!$D$23*'8.MotorCalc'!$I$33)</f>
        <v>0.38555967196365809</v>
      </c>
      <c r="J44" s="69">
        <f>('7.Config'!$E$10*'4.Parâmetros_Verm'!$D$10*'4.Parâmetros_Verm'!$F$10*'4.Parâmetros_Verm'!$G$10*'4.Parâmetros_Verm'!$H$10*'5.Mira'!$F$17*'6.Cibernético'!$C$24*'6.Cibernético'!$D$23*'8.MotorCalc'!$J$29)+('7.Config'!$E$10*'4.Parâmetros_Verm'!$D$19*'4.Parâmetros_Verm'!$F$19*'4.Parâmetros_Verm'!$G$19*'4.Parâmetros_Verm'!$H$19*'5.Mira'!$F$18*'6.Cibernético'!$C$24*'6.Cibernético'!$D$23*'8.MotorCalc'!$J$30)+('7.Config'!$E$12*'4.Parâmetros_Verm'!$D$28*'4.Parâmetros_Verm'!$F$28*'4.Parâmetros_Verm'!$G$28*'4.Parâmetros_Verm'!$H$28*'5.Mira'!$F$19*'6.Cibernético'!$C$24*'6.Cibernético'!$D$23*'8.MotorCalc'!$J$31)+('7.Config'!$E$12*'4.Parâmetros_Verm'!$D$37*'4.Parâmetros_Verm'!$F$37*'4.Parâmetros_Verm'!$G$37*'4.Parâmetros_Verm'!$H$37*'5.Mira'!$F$20*'6.Cibernético'!$C$24*'6.Cibernético'!$D$23*'8.MotorCalc'!$J$32)+('7.Config'!$E$12*'4.Parâmetros_Verm'!$D$46*'4.Parâmetros_Verm'!$F$46*'4.Parâmetros_Verm'!$G$46*'4.Parâmetros_Verm'!$H$46*'5.Mira'!$F$21*'6.Cibernético'!$C$24*'6.Cibernético'!$D$23*'8.MotorCalc'!$J$33)</f>
        <v>0.38390473409563441</v>
      </c>
      <c r="K44" s="69">
        <f>('7.Config'!$E$10*'4.Parâmetros_Verm'!$D$10*'4.Parâmetros_Verm'!$F$10*'4.Parâmetros_Verm'!$G$10*'4.Parâmetros_Verm'!$H$10*'5.Mira'!$F$17*'6.Cibernético'!$C$24*'6.Cibernético'!$D$23*'8.MotorCalc'!$K$29)+('7.Config'!$E$10*'4.Parâmetros_Verm'!$D$19*'4.Parâmetros_Verm'!$F$19*'4.Parâmetros_Verm'!$G$19*'4.Parâmetros_Verm'!$H$19*'5.Mira'!$F$18*'6.Cibernético'!$C$24*'6.Cibernético'!$D$23*'8.MotorCalc'!$K$30)+('7.Config'!$E$12*'4.Parâmetros_Verm'!$D$28*'4.Parâmetros_Verm'!$F$28*'4.Parâmetros_Verm'!$G$28*'4.Parâmetros_Verm'!$H$28*'5.Mira'!$F$19*'6.Cibernético'!$C$24*'6.Cibernético'!$D$23*'8.MotorCalc'!$K$31)+('7.Config'!$E$12*'4.Parâmetros_Verm'!$D$37*'4.Parâmetros_Verm'!$F$37*'4.Parâmetros_Verm'!$G$37*'4.Parâmetros_Verm'!$H$37*'5.Mira'!$F$20*'6.Cibernético'!$C$24*'6.Cibernético'!$D$23*'8.MotorCalc'!$K$32)+('7.Config'!$E$12*'4.Parâmetros_Verm'!$D$46*'4.Parâmetros_Verm'!$F$46*'4.Parâmetros_Verm'!$G$46*'4.Parâmetros_Verm'!$H$46*'5.Mira'!$F$21*'6.Cibernético'!$C$24*'6.Cibernético'!$D$23*'8.MotorCalc'!$K$33)</f>
        <v>0.38223869940725064</v>
      </c>
      <c r="L44" s="69">
        <f>('7.Config'!$E$10*'4.Parâmetros_Verm'!$D$10*'4.Parâmetros_Verm'!$F$10*'4.Parâmetros_Verm'!$G$10*'4.Parâmetros_Verm'!$H$10*'5.Mira'!$F$17*'6.Cibernético'!$C$24*'6.Cibernético'!$D$23*'8.MotorCalc'!$L$29)+('7.Config'!$E$10*'4.Parâmetros_Verm'!$D$19*'4.Parâmetros_Verm'!$F$19*'4.Parâmetros_Verm'!$G$19*'4.Parâmetros_Verm'!$H$19*'5.Mira'!$F$18*'6.Cibernético'!$C$24*'6.Cibernético'!$D$23*'8.MotorCalc'!$L$30)+('7.Config'!$E$12*'4.Parâmetros_Verm'!$D$28*'4.Parâmetros_Verm'!$F$28*'4.Parâmetros_Verm'!$G$28*'4.Parâmetros_Verm'!$H$28*'5.Mira'!$F$19*'6.Cibernético'!$C$24*'6.Cibernético'!$D$23*'8.MotorCalc'!$L$31)+('7.Config'!$E$12*'4.Parâmetros_Verm'!$D$37*'4.Parâmetros_Verm'!$F$37*'4.Parâmetros_Verm'!$G$37*'4.Parâmetros_Verm'!$H$37*'5.Mira'!$F$20*'6.Cibernético'!$C$24*'6.Cibernético'!$D$23*'8.MotorCalc'!$L$32)+('7.Config'!$E$12*'4.Parâmetros_Verm'!$D$46*'4.Parâmetros_Verm'!$F$46*'4.Parâmetros_Verm'!$G$46*'4.Parâmetros_Verm'!$H$46*'5.Mira'!$F$21*'6.Cibernético'!$C$24*'6.Cibernético'!$D$23*'8.MotorCalc'!$L$33)</f>
        <v>0.38056144290270871</v>
      </c>
    </row>
    <row r="45" spans="1:12" x14ac:dyDescent="0.2">
      <c r="A45" s="68" t="s">
        <v>210</v>
      </c>
      <c r="B45" s="40" t="s">
        <v>90</v>
      </c>
      <c r="C45" s="69">
        <f>('7.Config'!$E$10*'4.Parâmetros_Verm'!$D$11*'4.Parâmetros_Verm'!$F$11*'4.Parâmetros_Verm'!$G$11*'4.Parâmetros_Verm'!$H$11*'5.Mira'!$G$17*'6.Cibernético'!$C$24*'6.Cibernético'!$D$23*'8.MotorCalc'!$C$29)+('7.Config'!$E$10*'4.Parâmetros_Verm'!$D$20*'4.Parâmetros_Verm'!$F$20*'4.Parâmetros_Verm'!$G$20*'4.Parâmetros_Verm'!$H$20*'5.Mira'!$G$18*'6.Cibernético'!$C$24*'6.Cibernético'!$D$23*'8.MotorCalc'!$C$30)+('7.Config'!$E$12*'4.Parâmetros_Verm'!$D$29*'4.Parâmetros_Verm'!$F$29*'4.Parâmetros_Verm'!$G$29*'4.Parâmetros_Verm'!$H$29*'5.Mira'!$G$19*'6.Cibernético'!$C$24*'6.Cibernético'!$D$23*'8.MotorCalc'!$C$31)+('7.Config'!$E$12*'4.Parâmetros_Verm'!$D$38*'4.Parâmetros_Verm'!$F$38*'4.Parâmetros_Verm'!$G$38*'4.Parâmetros_Verm'!$H$38*'5.Mira'!$G$20*'6.Cibernético'!$C$24*'6.Cibernético'!$D$23*'8.MotorCalc'!$C$32)+('7.Config'!$E$12*'4.Parâmetros_Verm'!$D$47*'4.Parâmetros_Verm'!$F$47*'4.Parâmetros_Verm'!$G$47*'4.Parâmetros_Verm'!$H$47*'5.Mira'!$G$21*'6.Cibernético'!$C$24*'6.Cibernético'!$D$23*'8.MotorCalc'!$C$33)</f>
        <v>0.39526308521838993</v>
      </c>
      <c r="D45" s="69">
        <f>('7.Config'!$E$10*'4.Parâmetros_Verm'!$D$11*'4.Parâmetros_Verm'!$F$11*'4.Parâmetros_Verm'!$G$11*'4.Parâmetros_Verm'!$H$11*'5.Mira'!$G$17*'6.Cibernético'!$C$24*'6.Cibernético'!$D$23*'8.MotorCalc'!$D$29)+('7.Config'!$E$10*'4.Parâmetros_Verm'!$D$20*'4.Parâmetros_Verm'!$F$20*'4.Parâmetros_Verm'!$G$20*'4.Parâmetros_Verm'!$H$20*'5.Mira'!$G$18*'6.Cibernético'!$C$24*'6.Cibernético'!$D$23*'8.MotorCalc'!$D$30)+('7.Config'!$E$12*'4.Parâmetros_Verm'!$D$29*'4.Parâmetros_Verm'!$F$29*'4.Parâmetros_Verm'!$G$29*'4.Parâmetros_Verm'!$H$29*'5.Mira'!$G$19*'6.Cibernético'!$C$24*'6.Cibernético'!$D$23*'8.MotorCalc'!$D$31)+('7.Config'!$E$12*'4.Parâmetros_Verm'!$D$38*'4.Parâmetros_Verm'!$F$38*'4.Parâmetros_Verm'!$G$38*'4.Parâmetros_Verm'!$H$38*'5.Mira'!$G$20*'6.Cibernético'!$C$24*'6.Cibernético'!$D$23*'8.MotorCalc'!$D$32)+('7.Config'!$E$12*'4.Parâmetros_Verm'!$D$47*'4.Parâmetros_Verm'!$F$47*'4.Parâmetros_Verm'!$G$47*'4.Parâmetros_Verm'!$H$47*'5.Mira'!$G$21*'6.Cibernético'!$C$24*'6.Cibernético'!$D$23*'8.MotorCalc'!$D$33)</f>
        <v>0.39367217455721076</v>
      </c>
      <c r="E45" s="69">
        <f>('7.Config'!$E$10*'4.Parâmetros_Verm'!$D$11*'4.Parâmetros_Verm'!$F$11*'4.Parâmetros_Verm'!$G$11*'4.Parâmetros_Verm'!$H$11*'5.Mira'!$G$17*'6.Cibernético'!$C$24*'6.Cibernético'!$D$23*'8.MotorCalc'!$E$29)+('7.Config'!$E$10*'4.Parâmetros_Verm'!$D$20*'4.Parâmetros_Verm'!$F$20*'4.Parâmetros_Verm'!$G$20*'4.Parâmetros_Verm'!$H$20*'5.Mira'!$G$18*'6.Cibernético'!$C$24*'6.Cibernético'!$D$23*'8.MotorCalc'!$E$30)+('7.Config'!$E$12*'4.Parâmetros_Verm'!$D$29*'4.Parâmetros_Verm'!$F$29*'4.Parâmetros_Verm'!$G$29*'4.Parâmetros_Verm'!$H$29*'5.Mira'!$G$19*'6.Cibernético'!$C$24*'6.Cibernético'!$D$23*'8.MotorCalc'!$E$31)+('7.Config'!$E$12*'4.Parâmetros_Verm'!$D$38*'4.Parâmetros_Verm'!$F$38*'4.Parâmetros_Verm'!$G$38*'4.Parâmetros_Verm'!$H$38*'5.Mira'!$G$20*'6.Cibernético'!$C$24*'6.Cibernético'!$D$23*'8.MotorCalc'!$E$32)+('7.Config'!$E$12*'4.Parâmetros_Verm'!$D$47*'4.Parâmetros_Verm'!$F$47*'4.Parâmetros_Verm'!$G$47*'4.Parâmetros_Verm'!$H$47*'5.Mira'!$G$21*'6.Cibernético'!$C$24*'6.Cibernético'!$D$23*'8.MotorCalc'!$E$33)</f>
        <v>0.39207089693379588</v>
      </c>
      <c r="F45" s="69">
        <f>('7.Config'!$E$10*'4.Parâmetros_Verm'!$D$11*'4.Parâmetros_Verm'!$F$11*'4.Parâmetros_Verm'!$G$11*'4.Parâmetros_Verm'!$H$11*'5.Mira'!$G$17*'6.Cibernético'!$C$24*'6.Cibernético'!$D$23*'8.MotorCalc'!$F$29)+('7.Config'!$E$10*'4.Parâmetros_Verm'!$D$20*'4.Parâmetros_Verm'!$F$20*'4.Parâmetros_Verm'!$G$20*'4.Parâmetros_Verm'!$H$20*'5.Mira'!$G$18*'6.Cibernético'!$C$24*'6.Cibernético'!$D$23*'8.MotorCalc'!$F$30)+('7.Config'!$E$12*'4.Parâmetros_Verm'!$D$29*'4.Parâmetros_Verm'!$F$29*'4.Parâmetros_Verm'!$G$29*'4.Parâmetros_Verm'!$H$29*'5.Mira'!$G$19*'6.Cibernético'!$C$24*'6.Cibernético'!$D$23*'8.MotorCalc'!$F$31)+('7.Config'!$E$12*'4.Parâmetros_Verm'!$D$38*'4.Parâmetros_Verm'!$F$38*'4.Parâmetros_Verm'!$G$38*'4.Parâmetros_Verm'!$H$38*'5.Mira'!$G$20*'6.Cibernético'!$C$24*'6.Cibernético'!$D$23*'8.MotorCalc'!$F$32)+('7.Config'!$E$12*'4.Parâmetros_Verm'!$D$47*'4.Parâmetros_Verm'!$F$47*'4.Parâmetros_Verm'!$G$47*'4.Parâmetros_Verm'!$H$47*'5.Mira'!$G$21*'6.Cibernético'!$C$24*'6.Cibernético'!$D$23*'8.MotorCalc'!$F$33)</f>
        <v>0.39045912958228646</v>
      </c>
      <c r="G45" s="69">
        <f>('7.Config'!$E$10*'4.Parâmetros_Verm'!$D$11*'4.Parâmetros_Verm'!$F$11*'4.Parâmetros_Verm'!$G$11*'4.Parâmetros_Verm'!$H$11*'5.Mira'!$G$17*'6.Cibernético'!$C$24*'6.Cibernético'!$D$23*'8.MotorCalc'!$G$29)+('7.Config'!$E$10*'4.Parâmetros_Verm'!$D$20*'4.Parâmetros_Verm'!$F$20*'4.Parâmetros_Verm'!$G$20*'4.Parâmetros_Verm'!$H$20*'5.Mira'!$G$18*'6.Cibernético'!$C$24*'6.Cibernético'!$D$23*'8.MotorCalc'!$G$30)+('7.Config'!$E$12*'4.Parâmetros_Verm'!$D$29*'4.Parâmetros_Verm'!$F$29*'4.Parâmetros_Verm'!$G$29*'4.Parâmetros_Verm'!$H$29*'5.Mira'!$G$19*'6.Cibernético'!$C$24*'6.Cibernético'!$D$23*'8.MotorCalc'!$G$31)+('7.Config'!$E$12*'4.Parâmetros_Verm'!$D$38*'4.Parâmetros_Verm'!$F$38*'4.Parâmetros_Verm'!$G$38*'4.Parâmetros_Verm'!$H$38*'5.Mira'!$G$20*'6.Cibernético'!$C$24*'6.Cibernético'!$D$23*'8.MotorCalc'!$G$32)+('7.Config'!$E$12*'4.Parâmetros_Verm'!$D$47*'4.Parâmetros_Verm'!$F$47*'4.Parâmetros_Verm'!$G$47*'4.Parâmetros_Verm'!$H$47*'5.Mira'!$G$21*'6.Cibernético'!$C$24*'6.Cibernético'!$D$23*'8.MotorCalc'!$G$33)</f>
        <v>0.38883674885718622</v>
      </c>
      <c r="H45" s="69">
        <f>('7.Config'!$E$10*'4.Parâmetros_Verm'!$D$11*'4.Parâmetros_Verm'!$F$11*'4.Parâmetros_Verm'!$G$11*'4.Parâmetros_Verm'!$H$11*'5.Mira'!$G$17*'6.Cibernético'!$C$24*'6.Cibernético'!$D$23*'8.MotorCalc'!$H$29)+('7.Config'!$E$10*'4.Parâmetros_Verm'!$D$20*'4.Parâmetros_Verm'!$F$20*'4.Parâmetros_Verm'!$G$20*'4.Parâmetros_Verm'!$H$20*'5.Mira'!$G$18*'6.Cibernético'!$C$24*'6.Cibernético'!$D$23*'8.MotorCalc'!$H$30)+('7.Config'!$E$12*'4.Parâmetros_Verm'!$D$29*'4.Parâmetros_Verm'!$F$29*'4.Parâmetros_Verm'!$G$29*'4.Parâmetros_Verm'!$H$29*'5.Mira'!$G$19*'6.Cibernético'!$C$24*'6.Cibernético'!$D$23*'8.MotorCalc'!$H$31)+('7.Config'!$E$12*'4.Parâmetros_Verm'!$D$38*'4.Parâmetros_Verm'!$F$38*'4.Parâmetros_Verm'!$G$38*'4.Parâmetros_Verm'!$H$38*'5.Mira'!$G$20*'6.Cibernético'!$C$24*'6.Cibernético'!$D$23*'8.MotorCalc'!$H$32)+('7.Config'!$E$12*'4.Parâmetros_Verm'!$D$47*'4.Parâmetros_Verm'!$F$47*'4.Parâmetros_Verm'!$G$47*'4.Parâmetros_Verm'!$H$47*'5.Mira'!$G$21*'6.Cibernético'!$C$24*'6.Cibernético'!$D$23*'8.MotorCalc'!$H$33)</f>
        <v>0.38720363632932725</v>
      </c>
      <c r="I45" s="69">
        <f>('7.Config'!$E$10*'4.Parâmetros_Verm'!$D$11*'4.Parâmetros_Verm'!$F$11*'4.Parâmetros_Verm'!$G$11*'4.Parâmetros_Verm'!$H$11*'5.Mira'!$G$17*'6.Cibernético'!$C$24*'6.Cibernético'!$D$23*'8.MotorCalc'!$I$29)+('7.Config'!$E$10*'4.Parâmetros_Verm'!$D$20*'4.Parâmetros_Verm'!$F$20*'4.Parâmetros_Verm'!$G$20*'4.Parâmetros_Verm'!$H$20*'5.Mira'!$G$18*'6.Cibernético'!$C$24*'6.Cibernético'!$D$23*'8.MotorCalc'!$I$30)+('7.Config'!$E$12*'4.Parâmetros_Verm'!$D$29*'4.Parâmetros_Verm'!$F$29*'4.Parâmetros_Verm'!$G$29*'4.Parâmetros_Verm'!$H$29*'5.Mira'!$G$19*'6.Cibernético'!$C$24*'6.Cibernético'!$D$23*'8.MotorCalc'!$I$31)+('7.Config'!$E$12*'4.Parâmetros_Verm'!$D$38*'4.Parâmetros_Verm'!$F$38*'4.Parâmetros_Verm'!$G$38*'4.Parâmetros_Verm'!$H$38*'5.Mira'!$G$20*'6.Cibernético'!$C$24*'6.Cibernético'!$D$23*'8.MotorCalc'!$I$32)+('7.Config'!$E$12*'4.Parâmetros_Verm'!$D$47*'4.Parâmetros_Verm'!$F$47*'4.Parâmetros_Verm'!$G$47*'4.Parâmetros_Verm'!$H$47*'5.Mira'!$G$21*'6.Cibernético'!$C$24*'6.Cibernético'!$D$23*'8.MotorCalc'!$I$33)</f>
        <v>0.38555967196365809</v>
      </c>
      <c r="J45" s="69">
        <f>('7.Config'!$E$10*'4.Parâmetros_Verm'!$D$11*'4.Parâmetros_Verm'!$F$11*'4.Parâmetros_Verm'!$G$11*'4.Parâmetros_Verm'!$H$11*'5.Mira'!$G$17*'6.Cibernético'!$C$24*'6.Cibernético'!$D$23*'8.MotorCalc'!$J$29)+('7.Config'!$E$10*'4.Parâmetros_Verm'!$D$20*'4.Parâmetros_Verm'!$F$20*'4.Parâmetros_Verm'!$G$20*'4.Parâmetros_Verm'!$H$20*'5.Mira'!$G$18*'6.Cibernético'!$C$24*'6.Cibernético'!$D$23*'8.MotorCalc'!$J$30)+('7.Config'!$E$12*'4.Parâmetros_Verm'!$D$29*'4.Parâmetros_Verm'!$F$29*'4.Parâmetros_Verm'!$G$29*'4.Parâmetros_Verm'!$H$29*'5.Mira'!$G$19*'6.Cibernético'!$C$24*'6.Cibernético'!$D$23*'8.MotorCalc'!$J$31)+('7.Config'!$E$12*'4.Parâmetros_Verm'!$D$38*'4.Parâmetros_Verm'!$F$38*'4.Parâmetros_Verm'!$G$38*'4.Parâmetros_Verm'!$H$38*'5.Mira'!$G$20*'6.Cibernético'!$C$24*'6.Cibernético'!$D$23*'8.MotorCalc'!$J$32)+('7.Config'!$E$12*'4.Parâmetros_Verm'!$D$47*'4.Parâmetros_Verm'!$F$47*'4.Parâmetros_Verm'!$G$47*'4.Parâmetros_Verm'!$H$47*'5.Mira'!$G$21*'6.Cibernético'!$C$24*'6.Cibernético'!$D$23*'8.MotorCalc'!$J$33)</f>
        <v>0.38390473409563441</v>
      </c>
      <c r="K45" s="69">
        <f>('7.Config'!$E$10*'4.Parâmetros_Verm'!$D$11*'4.Parâmetros_Verm'!$F$11*'4.Parâmetros_Verm'!$G$11*'4.Parâmetros_Verm'!$H$11*'5.Mira'!$G$17*'6.Cibernético'!$C$24*'6.Cibernético'!$D$23*'8.MotorCalc'!$K$29)+('7.Config'!$E$10*'4.Parâmetros_Verm'!$D$20*'4.Parâmetros_Verm'!$F$20*'4.Parâmetros_Verm'!$G$20*'4.Parâmetros_Verm'!$H$20*'5.Mira'!$G$18*'6.Cibernético'!$C$24*'6.Cibernético'!$D$23*'8.MotorCalc'!$K$30)+('7.Config'!$E$12*'4.Parâmetros_Verm'!$D$29*'4.Parâmetros_Verm'!$F$29*'4.Parâmetros_Verm'!$G$29*'4.Parâmetros_Verm'!$H$29*'5.Mira'!$G$19*'6.Cibernético'!$C$24*'6.Cibernético'!$D$23*'8.MotorCalc'!$K$31)+('7.Config'!$E$12*'4.Parâmetros_Verm'!$D$38*'4.Parâmetros_Verm'!$F$38*'4.Parâmetros_Verm'!$G$38*'4.Parâmetros_Verm'!$H$38*'5.Mira'!$G$20*'6.Cibernético'!$C$24*'6.Cibernético'!$D$23*'8.MotorCalc'!$K$32)+('7.Config'!$E$12*'4.Parâmetros_Verm'!$D$47*'4.Parâmetros_Verm'!$F$47*'4.Parâmetros_Verm'!$G$47*'4.Parâmetros_Verm'!$H$47*'5.Mira'!$G$21*'6.Cibernético'!$C$24*'6.Cibernético'!$D$23*'8.MotorCalc'!$K$33)</f>
        <v>0.38223869940725064</v>
      </c>
      <c r="L45" s="69">
        <f>('7.Config'!$E$10*'4.Parâmetros_Verm'!$D$11*'4.Parâmetros_Verm'!$F$11*'4.Parâmetros_Verm'!$G$11*'4.Parâmetros_Verm'!$H$11*'5.Mira'!$G$17*'6.Cibernético'!$C$24*'6.Cibernético'!$D$23*'8.MotorCalc'!$L$29)+('7.Config'!$E$10*'4.Parâmetros_Verm'!$D$20*'4.Parâmetros_Verm'!$F$20*'4.Parâmetros_Verm'!$G$20*'4.Parâmetros_Verm'!$H$20*'5.Mira'!$G$18*'6.Cibernético'!$C$24*'6.Cibernético'!$D$23*'8.MotorCalc'!$L$30)+('7.Config'!$E$12*'4.Parâmetros_Verm'!$D$29*'4.Parâmetros_Verm'!$F$29*'4.Parâmetros_Verm'!$G$29*'4.Parâmetros_Verm'!$H$29*'5.Mira'!$G$19*'6.Cibernético'!$C$24*'6.Cibernético'!$D$23*'8.MotorCalc'!$L$31)+('7.Config'!$E$12*'4.Parâmetros_Verm'!$D$38*'4.Parâmetros_Verm'!$F$38*'4.Parâmetros_Verm'!$G$38*'4.Parâmetros_Verm'!$H$38*'5.Mira'!$G$20*'6.Cibernético'!$C$24*'6.Cibernético'!$D$23*'8.MotorCalc'!$L$32)+('7.Config'!$E$12*'4.Parâmetros_Verm'!$D$47*'4.Parâmetros_Verm'!$F$47*'4.Parâmetros_Verm'!$G$47*'4.Parâmetros_Verm'!$H$47*'5.Mira'!$G$21*'6.Cibernético'!$C$24*'6.Cibernético'!$D$23*'8.MotorCalc'!$L$33)</f>
        <v>0.38056144290270871</v>
      </c>
    </row>
    <row r="46" spans="1:12" x14ac:dyDescent="0.2">
      <c r="A46" s="68" t="s">
        <v>210</v>
      </c>
      <c r="B46" s="40" t="s">
        <v>92</v>
      </c>
      <c r="C46" s="69">
        <f>('7.Config'!$F$10*'4.Parâmetros_Verm'!$D$12*'4.Parâmetros_Verm'!$F$12*'4.Parâmetros_Verm'!$G$12*'4.Parâmetros_Verm'!$H$12*'5.Mira'!$H$17*'6.Cibernético'!$C$24*'6.Cibernético'!$D$23*'8.MotorCalc'!$C$29)+('7.Config'!$F$10*'4.Parâmetros_Verm'!$D$21*'4.Parâmetros_Verm'!$F$21*'4.Parâmetros_Verm'!$G$21*'4.Parâmetros_Verm'!$H$21*'5.Mira'!$H$18*'6.Cibernético'!$C$24*'6.Cibernético'!$D$23*'8.MotorCalc'!$C$30)+('7.Config'!$F$12*'4.Parâmetros_Verm'!$D$30*'4.Parâmetros_Verm'!$F$30*'4.Parâmetros_Verm'!$G$30*'4.Parâmetros_Verm'!$H$30*'5.Mira'!$H$19*'6.Cibernético'!$C$24*'6.Cibernético'!$D$23*'8.MotorCalc'!$C$31)+('7.Config'!$F$12*'4.Parâmetros_Verm'!$D$39*'4.Parâmetros_Verm'!$F$39*'4.Parâmetros_Verm'!$G$39*'4.Parâmetros_Verm'!$H$39*'5.Mira'!$H$20*'6.Cibernético'!$C$24*'6.Cibernético'!$D$23*'8.MotorCalc'!$C$32)+('7.Config'!$F$12*'4.Parâmetros_Verm'!$D$48*'4.Parâmetros_Verm'!$F$48*'4.Parâmetros_Verm'!$G$48*'4.Parâmetros_Verm'!$H$48*'5.Mira'!$H$21*'6.Cibernético'!$C$24*'6.Cibernético'!$D$23*'8.MotorCalc'!$C$33)</f>
        <v>0.43410542336748686</v>
      </c>
      <c r="D46" s="69">
        <f>('7.Config'!$F$10*'4.Parâmetros_Verm'!$D$12*'4.Parâmetros_Verm'!$F$12*'4.Parâmetros_Verm'!$G$12*'4.Parâmetros_Verm'!$H$12*'5.Mira'!$H$17*'6.Cibernético'!$C$24*'6.Cibernético'!$D$23*'8.MotorCalc'!$D$29)+('7.Config'!$F$10*'4.Parâmetros_Verm'!$D$21*'4.Parâmetros_Verm'!$F$21*'4.Parâmetros_Verm'!$G$21*'4.Parâmetros_Verm'!$H$21*'5.Mira'!$H$18*'6.Cibernético'!$C$24*'6.Cibernético'!$D$23*'8.MotorCalc'!$D$30)+('7.Config'!$F$12*'4.Parâmetros_Verm'!$D$30*'4.Parâmetros_Verm'!$F$30*'4.Parâmetros_Verm'!$G$30*'4.Parâmetros_Verm'!$H$30*'5.Mira'!$H$19*'6.Cibernético'!$C$24*'6.Cibernético'!$D$23*'8.MotorCalc'!$D$31)+('7.Config'!$F$12*'4.Parâmetros_Verm'!$D$39*'4.Parâmetros_Verm'!$F$39*'4.Parâmetros_Verm'!$G$39*'4.Parâmetros_Verm'!$H$39*'5.Mira'!$H$20*'6.Cibernético'!$C$24*'6.Cibernético'!$D$23*'8.MotorCalc'!$D$32)+('7.Config'!$F$12*'4.Parâmetros_Verm'!$D$48*'4.Parâmetros_Verm'!$F$48*'4.Parâmetros_Verm'!$G$48*'4.Parâmetros_Verm'!$H$48*'5.Mira'!$H$21*'6.Cibernético'!$C$24*'6.Cibernético'!$D$23*'8.MotorCalc'!$D$33)</f>
        <v>0.43246905811598824</v>
      </c>
      <c r="E46" s="69">
        <f>('7.Config'!$F$10*'4.Parâmetros_Verm'!$D$12*'4.Parâmetros_Verm'!$F$12*'4.Parâmetros_Verm'!$G$12*'4.Parâmetros_Verm'!$H$12*'5.Mira'!$H$17*'6.Cibernético'!$C$24*'6.Cibernético'!$D$23*'8.MotorCalc'!$E$29)+('7.Config'!$F$10*'4.Parâmetros_Verm'!$D$21*'4.Parâmetros_Verm'!$F$21*'4.Parâmetros_Verm'!$G$21*'4.Parâmetros_Verm'!$H$21*'5.Mira'!$H$18*'6.Cibernético'!$C$24*'6.Cibernético'!$D$23*'8.MotorCalc'!$E$30)+('7.Config'!$F$12*'4.Parâmetros_Verm'!$D$30*'4.Parâmetros_Verm'!$F$30*'4.Parâmetros_Verm'!$G$30*'4.Parâmetros_Verm'!$H$30*'5.Mira'!$H$19*'6.Cibernético'!$C$24*'6.Cibernético'!$D$23*'8.MotorCalc'!$E$31)+('7.Config'!$F$12*'4.Parâmetros_Verm'!$D$39*'4.Parâmetros_Verm'!$F$39*'4.Parâmetros_Verm'!$G$39*'4.Parâmetros_Verm'!$H$39*'5.Mira'!$H$20*'6.Cibernético'!$C$24*'6.Cibernético'!$D$23*'8.MotorCalc'!$E$32)+('7.Config'!$F$12*'4.Parâmetros_Verm'!$D$48*'4.Parâmetros_Verm'!$F$48*'4.Parâmetros_Verm'!$G$48*'4.Parâmetros_Verm'!$H$48*'5.Mira'!$H$21*'6.Cibernético'!$C$24*'6.Cibernético'!$D$23*'8.MotorCalc'!$E$33)</f>
        <v>0.43082202970333289</v>
      </c>
      <c r="F46" s="69">
        <f>('7.Config'!$F$10*'4.Parâmetros_Verm'!$D$12*'4.Parâmetros_Verm'!$F$12*'4.Parâmetros_Verm'!$G$12*'4.Parâmetros_Verm'!$H$12*'5.Mira'!$H$17*'6.Cibernético'!$C$24*'6.Cibernético'!$D$23*'8.MotorCalc'!$F$29)+('7.Config'!$F$10*'4.Parâmetros_Verm'!$D$21*'4.Parâmetros_Verm'!$F$21*'4.Parâmetros_Verm'!$G$21*'4.Parâmetros_Verm'!$H$21*'5.Mira'!$H$18*'6.Cibernético'!$C$24*'6.Cibernético'!$D$23*'8.MotorCalc'!$F$30)+('7.Config'!$F$12*'4.Parâmetros_Verm'!$D$30*'4.Parâmetros_Verm'!$F$30*'4.Parâmetros_Verm'!$G$30*'4.Parâmetros_Verm'!$H$30*'5.Mira'!$H$19*'6.Cibernético'!$C$24*'6.Cibernético'!$D$23*'8.MotorCalc'!$F$31)+('7.Config'!$F$12*'4.Parâmetros_Verm'!$D$39*'4.Parâmetros_Verm'!$F$39*'4.Parâmetros_Verm'!$G$39*'4.Parâmetros_Verm'!$H$39*'5.Mira'!$H$20*'6.Cibernético'!$C$24*'6.Cibernético'!$D$23*'8.MotorCalc'!$F$32)+('7.Config'!$F$12*'4.Parâmetros_Verm'!$D$48*'4.Parâmetros_Verm'!$F$48*'4.Parâmetros_Verm'!$G$48*'4.Parâmetros_Verm'!$H$48*'5.Mira'!$H$21*'6.Cibernético'!$C$24*'6.Cibernético'!$D$23*'8.MotorCalc'!$F$33)</f>
        <v>0.42916421185606607</v>
      </c>
      <c r="G46" s="69">
        <f>('7.Config'!$F$10*'4.Parâmetros_Verm'!$D$12*'4.Parâmetros_Verm'!$F$12*'4.Parâmetros_Verm'!$G$12*'4.Parâmetros_Verm'!$H$12*'5.Mira'!$H$17*'6.Cibernético'!$C$24*'6.Cibernético'!$D$23*'8.MotorCalc'!$G$29)+('7.Config'!$F$10*'4.Parâmetros_Verm'!$D$21*'4.Parâmetros_Verm'!$F$21*'4.Parâmetros_Verm'!$G$21*'4.Parâmetros_Verm'!$H$21*'5.Mira'!$H$18*'6.Cibernético'!$C$24*'6.Cibernético'!$D$23*'8.MotorCalc'!$G$30)+('7.Config'!$F$12*'4.Parâmetros_Verm'!$D$30*'4.Parâmetros_Verm'!$F$30*'4.Parâmetros_Verm'!$G$30*'4.Parâmetros_Verm'!$H$30*'5.Mira'!$H$19*'6.Cibernético'!$C$24*'6.Cibernético'!$D$23*'8.MotorCalc'!$G$31)+('7.Config'!$F$12*'4.Parâmetros_Verm'!$D$39*'4.Parâmetros_Verm'!$F$39*'4.Parâmetros_Verm'!$G$39*'4.Parâmetros_Verm'!$H$39*'5.Mira'!$H$20*'6.Cibernético'!$C$24*'6.Cibernético'!$D$23*'8.MotorCalc'!$G$32)+('7.Config'!$F$12*'4.Parâmetros_Verm'!$D$48*'4.Parâmetros_Verm'!$F$48*'4.Parâmetros_Verm'!$G$48*'4.Parâmetros_Verm'!$H$48*'5.Mira'!$H$21*'6.Cibernético'!$C$24*'6.Cibernético'!$D$23*'8.MotorCalc'!$G$33)</f>
        <v>0.427495477395963</v>
      </c>
      <c r="H46" s="69">
        <f>('7.Config'!$F$10*'4.Parâmetros_Verm'!$D$12*'4.Parâmetros_Verm'!$F$12*'4.Parâmetros_Verm'!$G$12*'4.Parâmetros_Verm'!$H$12*'5.Mira'!$H$17*'6.Cibernético'!$C$24*'6.Cibernético'!$D$23*'8.MotorCalc'!$H$29)+('7.Config'!$F$10*'4.Parâmetros_Verm'!$D$21*'4.Parâmetros_Verm'!$F$21*'4.Parâmetros_Verm'!$G$21*'4.Parâmetros_Verm'!$H$21*'5.Mira'!$H$18*'6.Cibernético'!$C$24*'6.Cibernético'!$D$23*'8.MotorCalc'!$H$30)+('7.Config'!$F$12*'4.Parâmetros_Verm'!$D$30*'4.Parâmetros_Verm'!$F$30*'4.Parâmetros_Verm'!$G$30*'4.Parâmetros_Verm'!$H$30*'5.Mira'!$H$19*'6.Cibernético'!$C$24*'6.Cibernético'!$D$23*'8.MotorCalc'!$H$31)+('7.Config'!$F$12*'4.Parâmetros_Verm'!$D$39*'4.Parâmetros_Verm'!$F$39*'4.Parâmetros_Verm'!$G$39*'4.Parâmetros_Verm'!$H$39*'5.Mira'!$H$20*'6.Cibernético'!$C$24*'6.Cibernético'!$D$23*'8.MotorCalc'!$H$32)+('7.Config'!$F$12*'4.Parâmetros_Verm'!$D$48*'4.Parâmetros_Verm'!$F$48*'4.Parâmetros_Verm'!$G$48*'4.Parâmetros_Verm'!$H$48*'5.Mira'!$H$21*'6.Cibernético'!$C$24*'6.Cibernético'!$D$23*'8.MotorCalc'!$H$33)</f>
        <v>0.4258157045101652</v>
      </c>
      <c r="I46" s="69">
        <f>('7.Config'!$F$10*'4.Parâmetros_Verm'!$D$12*'4.Parâmetros_Verm'!$F$12*'4.Parâmetros_Verm'!$G$12*'4.Parâmetros_Verm'!$H$12*'5.Mira'!$H$17*'6.Cibernético'!$C$24*'6.Cibernético'!$D$23*'8.MotorCalc'!$I$29)+('7.Config'!$F$10*'4.Parâmetros_Verm'!$D$21*'4.Parâmetros_Verm'!$F$21*'4.Parâmetros_Verm'!$G$21*'4.Parâmetros_Verm'!$H$21*'5.Mira'!$H$18*'6.Cibernético'!$C$24*'6.Cibernético'!$D$23*'8.MotorCalc'!$I$30)+('7.Config'!$F$12*'4.Parâmetros_Verm'!$D$30*'4.Parâmetros_Verm'!$F$30*'4.Parâmetros_Verm'!$G$30*'4.Parâmetros_Verm'!$H$30*'5.Mira'!$H$19*'6.Cibernético'!$C$24*'6.Cibernético'!$D$23*'8.MotorCalc'!$I$31)+('7.Config'!$F$12*'4.Parâmetros_Verm'!$D$39*'4.Parâmetros_Verm'!$F$39*'4.Parâmetros_Verm'!$G$39*'4.Parâmetros_Verm'!$H$39*'5.Mira'!$H$20*'6.Cibernético'!$C$24*'6.Cibernético'!$D$23*'8.MotorCalc'!$I$32)+('7.Config'!$F$12*'4.Parâmetros_Verm'!$D$48*'4.Parâmetros_Verm'!$F$48*'4.Parâmetros_Verm'!$G$48*'4.Parâmetros_Verm'!$H$48*'5.Mira'!$H$21*'6.Cibernético'!$C$24*'6.Cibernético'!$D$23*'8.MotorCalc'!$I$33)</f>
        <v>0.42412476973404839</v>
      </c>
      <c r="J46" s="69">
        <f>('7.Config'!$F$10*'4.Parâmetros_Verm'!$D$12*'4.Parâmetros_Verm'!$F$12*'4.Parâmetros_Verm'!$G$12*'4.Parâmetros_Verm'!$H$12*'5.Mira'!$H$17*'6.Cibernético'!$C$24*'6.Cibernético'!$D$23*'8.MotorCalc'!$J$29)+('7.Config'!$F$10*'4.Parâmetros_Verm'!$D$21*'4.Parâmetros_Verm'!$F$21*'4.Parâmetros_Verm'!$G$21*'4.Parâmetros_Verm'!$H$21*'5.Mira'!$H$18*'6.Cibernético'!$C$24*'6.Cibernético'!$D$23*'8.MotorCalc'!$J$30)+('7.Config'!$F$12*'4.Parâmetros_Verm'!$D$30*'4.Parâmetros_Verm'!$F$30*'4.Parâmetros_Verm'!$G$30*'4.Parâmetros_Verm'!$H$30*'5.Mira'!$H$19*'6.Cibernético'!$C$24*'6.Cibernético'!$D$23*'8.MotorCalc'!$J$31)+('7.Config'!$F$12*'4.Parâmetros_Verm'!$D$39*'4.Parâmetros_Verm'!$F$39*'4.Parâmetros_Verm'!$G$39*'4.Parâmetros_Verm'!$H$39*'5.Mira'!$H$20*'6.Cibernético'!$C$24*'6.Cibernético'!$D$23*'8.MotorCalc'!$J$32)+('7.Config'!$F$12*'4.Parâmetros_Verm'!$D$48*'4.Parâmetros_Verm'!$F$48*'4.Parâmetros_Verm'!$G$48*'4.Parâmetros_Verm'!$H$48*'5.Mira'!$H$21*'6.Cibernético'!$C$24*'6.Cibernético'!$D$23*'8.MotorCalc'!$J$33)</f>
        <v>0.42242254792693829</v>
      </c>
      <c r="K46" s="69">
        <f>('7.Config'!$F$10*'4.Parâmetros_Verm'!$D$12*'4.Parâmetros_Verm'!$F$12*'4.Parâmetros_Verm'!$G$12*'4.Parâmetros_Verm'!$H$12*'5.Mira'!$H$17*'6.Cibernético'!$C$24*'6.Cibernético'!$D$23*'8.MotorCalc'!$K$29)+('7.Config'!$F$10*'4.Parâmetros_Verm'!$D$21*'4.Parâmetros_Verm'!$F$21*'4.Parâmetros_Verm'!$G$21*'4.Parâmetros_Verm'!$H$21*'5.Mira'!$H$18*'6.Cibernético'!$C$24*'6.Cibernético'!$D$23*'8.MotorCalc'!$K$30)+('7.Config'!$F$12*'4.Parâmetros_Verm'!$D$30*'4.Parâmetros_Verm'!$F$30*'4.Parâmetros_Verm'!$G$30*'4.Parâmetros_Verm'!$H$30*'5.Mira'!$H$19*'6.Cibernético'!$C$24*'6.Cibernético'!$D$23*'8.MotorCalc'!$K$31)+('7.Config'!$F$12*'4.Parâmetros_Verm'!$D$39*'4.Parâmetros_Verm'!$F$39*'4.Parâmetros_Verm'!$G$39*'4.Parâmetros_Verm'!$H$39*'5.Mira'!$H$20*'6.Cibernético'!$C$24*'6.Cibernético'!$D$23*'8.MotorCalc'!$K$32)+('7.Config'!$F$12*'4.Parâmetros_Verm'!$D$48*'4.Parâmetros_Verm'!$F$48*'4.Parâmetros_Verm'!$G$48*'4.Parâmetros_Verm'!$H$48*'5.Mira'!$H$21*'6.Cibernético'!$C$24*'6.Cibernético'!$D$23*'8.MotorCalc'!$K$33)</f>
        <v>0.42070891224745782</v>
      </c>
      <c r="L46" s="69">
        <f>('7.Config'!$F$10*'4.Parâmetros_Verm'!$D$12*'4.Parâmetros_Verm'!$F$12*'4.Parâmetros_Verm'!$G$12*'4.Parâmetros_Verm'!$H$12*'5.Mira'!$H$17*'6.Cibernético'!$C$24*'6.Cibernético'!$D$23*'8.MotorCalc'!$L$29)+('7.Config'!$F$10*'4.Parâmetros_Verm'!$D$21*'4.Parâmetros_Verm'!$F$21*'4.Parâmetros_Verm'!$G$21*'4.Parâmetros_Verm'!$H$21*'5.Mira'!$H$18*'6.Cibernético'!$C$24*'6.Cibernético'!$D$23*'8.MotorCalc'!$L$30)+('7.Config'!$F$12*'4.Parâmetros_Verm'!$D$30*'4.Parâmetros_Verm'!$F$30*'4.Parâmetros_Verm'!$G$30*'4.Parâmetros_Verm'!$H$30*'5.Mira'!$H$19*'6.Cibernético'!$C$24*'6.Cibernético'!$D$23*'8.MotorCalc'!$L$31)+('7.Config'!$F$12*'4.Parâmetros_Verm'!$D$39*'4.Parâmetros_Verm'!$F$39*'4.Parâmetros_Verm'!$G$39*'4.Parâmetros_Verm'!$H$39*'5.Mira'!$H$20*'6.Cibernético'!$C$24*'6.Cibernético'!$D$23*'8.MotorCalc'!$L$32)+('7.Config'!$F$12*'4.Parâmetros_Verm'!$D$48*'4.Parâmetros_Verm'!$F$48*'4.Parâmetros_Verm'!$G$48*'4.Parâmetros_Verm'!$H$48*'5.Mira'!$H$21*'6.Cibernético'!$C$24*'6.Cibernético'!$D$23*'8.MotorCalc'!$L$33)</f>
        <v>0.41898373412850037</v>
      </c>
    </row>
    <row r="47" spans="1:12" x14ac:dyDescent="0.2">
      <c r="A47" s="68" t="s">
        <v>210</v>
      </c>
      <c r="B47" s="40" t="s">
        <v>94</v>
      </c>
      <c r="C47" s="69">
        <f>('7.Config'!$F$10*'4.Parâmetros_Verm'!$D$13*'4.Parâmetros_Verm'!$F$13*'4.Parâmetros_Verm'!$G$13*'4.Parâmetros_Verm'!$H$13*'5.Mira'!$I$17*'6.Cibernético'!$C$24*'6.Cibernético'!$D$23*'8.MotorCalc'!$C$29)+('7.Config'!$F$10*'4.Parâmetros_Verm'!$D$22*'4.Parâmetros_Verm'!$F$22*'4.Parâmetros_Verm'!$G$22*'4.Parâmetros_Verm'!$H$22*'5.Mira'!$I$18*'6.Cibernético'!$C$24*'6.Cibernético'!$D$23*'8.MotorCalc'!$C$30)+('7.Config'!$F$12*'4.Parâmetros_Verm'!$D$31*'4.Parâmetros_Verm'!$F$31*'4.Parâmetros_Verm'!$G$31*'4.Parâmetros_Verm'!$H$31*'5.Mira'!$I$19*'6.Cibernético'!$C$24*'6.Cibernético'!$D$23*'8.MotorCalc'!$C$31)+('7.Config'!$F$12*'4.Parâmetros_Verm'!$D$40*'4.Parâmetros_Verm'!$F$40*'4.Parâmetros_Verm'!$G$40*'4.Parâmetros_Verm'!$H$40*'5.Mira'!$I$20*'6.Cibernético'!$C$24*'6.Cibernético'!$D$23*'8.MotorCalc'!$C$32)+('7.Config'!$F$12*'4.Parâmetros_Verm'!$D$49*'4.Parâmetros_Verm'!$F$49*'4.Parâmetros_Verm'!$G$49*'4.Parâmetros_Verm'!$H$49*'5.Mira'!$I$21*'6.Cibernético'!$C$24*'6.Cibernético'!$D$23*'8.MotorCalc'!$C$33)</f>
        <v>0.43410542336748686</v>
      </c>
      <c r="D47" s="69">
        <f>('7.Config'!$F$10*'4.Parâmetros_Verm'!$D$13*'4.Parâmetros_Verm'!$F$13*'4.Parâmetros_Verm'!$G$13*'4.Parâmetros_Verm'!$H$13*'5.Mira'!$I$17*'6.Cibernético'!$C$24*'6.Cibernético'!$D$23*'8.MotorCalc'!$D$29)+('7.Config'!$F$10*'4.Parâmetros_Verm'!$D$22*'4.Parâmetros_Verm'!$F$22*'4.Parâmetros_Verm'!$G$22*'4.Parâmetros_Verm'!$H$22*'5.Mira'!$I$18*'6.Cibernético'!$C$24*'6.Cibernético'!$D$23*'8.MotorCalc'!$D$30)+('7.Config'!$F$12*'4.Parâmetros_Verm'!$D$31*'4.Parâmetros_Verm'!$F$31*'4.Parâmetros_Verm'!$G$31*'4.Parâmetros_Verm'!$H$31*'5.Mira'!$I$19*'6.Cibernético'!$C$24*'6.Cibernético'!$D$23*'8.MotorCalc'!$D$31)+('7.Config'!$F$12*'4.Parâmetros_Verm'!$D$40*'4.Parâmetros_Verm'!$F$40*'4.Parâmetros_Verm'!$G$40*'4.Parâmetros_Verm'!$H$40*'5.Mira'!$I$20*'6.Cibernético'!$C$24*'6.Cibernético'!$D$23*'8.MotorCalc'!$D$32)+('7.Config'!$F$12*'4.Parâmetros_Verm'!$D$49*'4.Parâmetros_Verm'!$F$49*'4.Parâmetros_Verm'!$G$49*'4.Parâmetros_Verm'!$H$49*'5.Mira'!$I$21*'6.Cibernético'!$C$24*'6.Cibernético'!$D$23*'8.MotorCalc'!$D$33)</f>
        <v>0.43246905811598824</v>
      </c>
      <c r="E47" s="69">
        <f>('7.Config'!$F$10*'4.Parâmetros_Verm'!$D$13*'4.Parâmetros_Verm'!$F$13*'4.Parâmetros_Verm'!$G$13*'4.Parâmetros_Verm'!$H$13*'5.Mira'!$I$17*'6.Cibernético'!$C$24*'6.Cibernético'!$D$23*'8.MotorCalc'!$E$29)+('7.Config'!$F$10*'4.Parâmetros_Verm'!$D$22*'4.Parâmetros_Verm'!$F$22*'4.Parâmetros_Verm'!$G$22*'4.Parâmetros_Verm'!$H$22*'5.Mira'!$I$18*'6.Cibernético'!$C$24*'6.Cibernético'!$D$23*'8.MotorCalc'!$E$30)+('7.Config'!$F$12*'4.Parâmetros_Verm'!$D$31*'4.Parâmetros_Verm'!$F$31*'4.Parâmetros_Verm'!$G$31*'4.Parâmetros_Verm'!$H$31*'5.Mira'!$I$19*'6.Cibernético'!$C$24*'6.Cibernético'!$D$23*'8.MotorCalc'!$E$31)+('7.Config'!$F$12*'4.Parâmetros_Verm'!$D$40*'4.Parâmetros_Verm'!$F$40*'4.Parâmetros_Verm'!$G$40*'4.Parâmetros_Verm'!$H$40*'5.Mira'!$I$20*'6.Cibernético'!$C$24*'6.Cibernético'!$D$23*'8.MotorCalc'!$E$32)+('7.Config'!$F$12*'4.Parâmetros_Verm'!$D$49*'4.Parâmetros_Verm'!$F$49*'4.Parâmetros_Verm'!$G$49*'4.Parâmetros_Verm'!$H$49*'5.Mira'!$I$21*'6.Cibernético'!$C$24*'6.Cibernético'!$D$23*'8.MotorCalc'!$E$33)</f>
        <v>0.43082202970333289</v>
      </c>
      <c r="F47" s="69">
        <f>('7.Config'!$F$10*'4.Parâmetros_Verm'!$D$13*'4.Parâmetros_Verm'!$F$13*'4.Parâmetros_Verm'!$G$13*'4.Parâmetros_Verm'!$H$13*'5.Mira'!$I$17*'6.Cibernético'!$C$24*'6.Cibernético'!$D$23*'8.MotorCalc'!$F$29)+('7.Config'!$F$10*'4.Parâmetros_Verm'!$D$22*'4.Parâmetros_Verm'!$F$22*'4.Parâmetros_Verm'!$G$22*'4.Parâmetros_Verm'!$H$22*'5.Mira'!$I$18*'6.Cibernético'!$C$24*'6.Cibernético'!$D$23*'8.MotorCalc'!$F$30)+('7.Config'!$F$12*'4.Parâmetros_Verm'!$D$31*'4.Parâmetros_Verm'!$F$31*'4.Parâmetros_Verm'!$G$31*'4.Parâmetros_Verm'!$H$31*'5.Mira'!$I$19*'6.Cibernético'!$C$24*'6.Cibernético'!$D$23*'8.MotorCalc'!$F$31)+('7.Config'!$F$12*'4.Parâmetros_Verm'!$D$40*'4.Parâmetros_Verm'!$F$40*'4.Parâmetros_Verm'!$G$40*'4.Parâmetros_Verm'!$H$40*'5.Mira'!$I$20*'6.Cibernético'!$C$24*'6.Cibernético'!$D$23*'8.MotorCalc'!$F$32)+('7.Config'!$F$12*'4.Parâmetros_Verm'!$D$49*'4.Parâmetros_Verm'!$F$49*'4.Parâmetros_Verm'!$G$49*'4.Parâmetros_Verm'!$H$49*'5.Mira'!$I$21*'6.Cibernético'!$C$24*'6.Cibernético'!$D$23*'8.MotorCalc'!$F$33)</f>
        <v>0.42916421185606607</v>
      </c>
      <c r="G47" s="69">
        <f>('7.Config'!$F$10*'4.Parâmetros_Verm'!$D$13*'4.Parâmetros_Verm'!$F$13*'4.Parâmetros_Verm'!$G$13*'4.Parâmetros_Verm'!$H$13*'5.Mira'!$I$17*'6.Cibernético'!$C$24*'6.Cibernético'!$D$23*'8.MotorCalc'!$G$29)+('7.Config'!$F$10*'4.Parâmetros_Verm'!$D$22*'4.Parâmetros_Verm'!$F$22*'4.Parâmetros_Verm'!$G$22*'4.Parâmetros_Verm'!$H$22*'5.Mira'!$I$18*'6.Cibernético'!$C$24*'6.Cibernético'!$D$23*'8.MotorCalc'!$G$30)+('7.Config'!$F$12*'4.Parâmetros_Verm'!$D$31*'4.Parâmetros_Verm'!$F$31*'4.Parâmetros_Verm'!$G$31*'4.Parâmetros_Verm'!$H$31*'5.Mira'!$I$19*'6.Cibernético'!$C$24*'6.Cibernético'!$D$23*'8.MotorCalc'!$G$31)+('7.Config'!$F$12*'4.Parâmetros_Verm'!$D$40*'4.Parâmetros_Verm'!$F$40*'4.Parâmetros_Verm'!$G$40*'4.Parâmetros_Verm'!$H$40*'5.Mira'!$I$20*'6.Cibernético'!$C$24*'6.Cibernético'!$D$23*'8.MotorCalc'!$G$32)+('7.Config'!$F$12*'4.Parâmetros_Verm'!$D$49*'4.Parâmetros_Verm'!$F$49*'4.Parâmetros_Verm'!$G$49*'4.Parâmetros_Verm'!$H$49*'5.Mira'!$I$21*'6.Cibernético'!$C$24*'6.Cibernético'!$D$23*'8.MotorCalc'!$G$33)</f>
        <v>0.427495477395963</v>
      </c>
      <c r="H47" s="69">
        <f>('7.Config'!$F$10*'4.Parâmetros_Verm'!$D$13*'4.Parâmetros_Verm'!$F$13*'4.Parâmetros_Verm'!$G$13*'4.Parâmetros_Verm'!$H$13*'5.Mira'!$I$17*'6.Cibernético'!$C$24*'6.Cibernético'!$D$23*'8.MotorCalc'!$H$29)+('7.Config'!$F$10*'4.Parâmetros_Verm'!$D$22*'4.Parâmetros_Verm'!$F$22*'4.Parâmetros_Verm'!$G$22*'4.Parâmetros_Verm'!$H$22*'5.Mira'!$I$18*'6.Cibernético'!$C$24*'6.Cibernético'!$D$23*'8.MotorCalc'!$H$30)+('7.Config'!$F$12*'4.Parâmetros_Verm'!$D$31*'4.Parâmetros_Verm'!$F$31*'4.Parâmetros_Verm'!$G$31*'4.Parâmetros_Verm'!$H$31*'5.Mira'!$I$19*'6.Cibernético'!$C$24*'6.Cibernético'!$D$23*'8.MotorCalc'!$H$31)+('7.Config'!$F$12*'4.Parâmetros_Verm'!$D$40*'4.Parâmetros_Verm'!$F$40*'4.Parâmetros_Verm'!$G$40*'4.Parâmetros_Verm'!$H$40*'5.Mira'!$I$20*'6.Cibernético'!$C$24*'6.Cibernético'!$D$23*'8.MotorCalc'!$H$32)+('7.Config'!$F$12*'4.Parâmetros_Verm'!$D$49*'4.Parâmetros_Verm'!$F$49*'4.Parâmetros_Verm'!$G$49*'4.Parâmetros_Verm'!$H$49*'5.Mira'!$I$21*'6.Cibernético'!$C$24*'6.Cibernético'!$D$23*'8.MotorCalc'!$H$33)</f>
        <v>0.4258157045101652</v>
      </c>
      <c r="I47" s="69">
        <f>('7.Config'!$F$10*'4.Parâmetros_Verm'!$D$13*'4.Parâmetros_Verm'!$F$13*'4.Parâmetros_Verm'!$G$13*'4.Parâmetros_Verm'!$H$13*'5.Mira'!$I$17*'6.Cibernético'!$C$24*'6.Cibernético'!$D$23*'8.MotorCalc'!$I$29)+('7.Config'!$F$10*'4.Parâmetros_Verm'!$D$22*'4.Parâmetros_Verm'!$F$22*'4.Parâmetros_Verm'!$G$22*'4.Parâmetros_Verm'!$H$22*'5.Mira'!$I$18*'6.Cibernético'!$C$24*'6.Cibernético'!$D$23*'8.MotorCalc'!$I$30)+('7.Config'!$F$12*'4.Parâmetros_Verm'!$D$31*'4.Parâmetros_Verm'!$F$31*'4.Parâmetros_Verm'!$G$31*'4.Parâmetros_Verm'!$H$31*'5.Mira'!$I$19*'6.Cibernético'!$C$24*'6.Cibernético'!$D$23*'8.MotorCalc'!$I$31)+('7.Config'!$F$12*'4.Parâmetros_Verm'!$D$40*'4.Parâmetros_Verm'!$F$40*'4.Parâmetros_Verm'!$G$40*'4.Parâmetros_Verm'!$H$40*'5.Mira'!$I$20*'6.Cibernético'!$C$24*'6.Cibernético'!$D$23*'8.MotorCalc'!$I$32)+('7.Config'!$F$12*'4.Parâmetros_Verm'!$D$49*'4.Parâmetros_Verm'!$F$49*'4.Parâmetros_Verm'!$G$49*'4.Parâmetros_Verm'!$H$49*'5.Mira'!$I$21*'6.Cibernético'!$C$24*'6.Cibernético'!$D$23*'8.MotorCalc'!$I$33)</f>
        <v>0.42412476973404839</v>
      </c>
      <c r="J47" s="69">
        <f>('7.Config'!$F$10*'4.Parâmetros_Verm'!$D$13*'4.Parâmetros_Verm'!$F$13*'4.Parâmetros_Verm'!$G$13*'4.Parâmetros_Verm'!$H$13*'5.Mira'!$I$17*'6.Cibernético'!$C$24*'6.Cibernético'!$D$23*'8.MotorCalc'!$J$29)+('7.Config'!$F$10*'4.Parâmetros_Verm'!$D$22*'4.Parâmetros_Verm'!$F$22*'4.Parâmetros_Verm'!$G$22*'4.Parâmetros_Verm'!$H$22*'5.Mira'!$I$18*'6.Cibernético'!$C$24*'6.Cibernético'!$D$23*'8.MotorCalc'!$J$30)+('7.Config'!$F$12*'4.Parâmetros_Verm'!$D$31*'4.Parâmetros_Verm'!$F$31*'4.Parâmetros_Verm'!$G$31*'4.Parâmetros_Verm'!$H$31*'5.Mira'!$I$19*'6.Cibernético'!$C$24*'6.Cibernético'!$D$23*'8.MotorCalc'!$J$31)+('7.Config'!$F$12*'4.Parâmetros_Verm'!$D$40*'4.Parâmetros_Verm'!$F$40*'4.Parâmetros_Verm'!$G$40*'4.Parâmetros_Verm'!$H$40*'5.Mira'!$I$20*'6.Cibernético'!$C$24*'6.Cibernético'!$D$23*'8.MotorCalc'!$J$32)+('7.Config'!$F$12*'4.Parâmetros_Verm'!$D$49*'4.Parâmetros_Verm'!$F$49*'4.Parâmetros_Verm'!$G$49*'4.Parâmetros_Verm'!$H$49*'5.Mira'!$I$21*'6.Cibernético'!$C$24*'6.Cibernético'!$D$23*'8.MotorCalc'!$J$33)</f>
        <v>0.42242254792693829</v>
      </c>
      <c r="K47" s="69">
        <f>('7.Config'!$F$10*'4.Parâmetros_Verm'!$D$13*'4.Parâmetros_Verm'!$F$13*'4.Parâmetros_Verm'!$G$13*'4.Parâmetros_Verm'!$H$13*'5.Mira'!$I$17*'6.Cibernético'!$C$24*'6.Cibernético'!$D$23*'8.MotorCalc'!$K$29)+('7.Config'!$F$10*'4.Parâmetros_Verm'!$D$22*'4.Parâmetros_Verm'!$F$22*'4.Parâmetros_Verm'!$G$22*'4.Parâmetros_Verm'!$H$22*'5.Mira'!$I$18*'6.Cibernético'!$C$24*'6.Cibernético'!$D$23*'8.MotorCalc'!$K$30)+('7.Config'!$F$12*'4.Parâmetros_Verm'!$D$31*'4.Parâmetros_Verm'!$F$31*'4.Parâmetros_Verm'!$G$31*'4.Parâmetros_Verm'!$H$31*'5.Mira'!$I$19*'6.Cibernético'!$C$24*'6.Cibernético'!$D$23*'8.MotorCalc'!$K$31)+('7.Config'!$F$12*'4.Parâmetros_Verm'!$D$40*'4.Parâmetros_Verm'!$F$40*'4.Parâmetros_Verm'!$G$40*'4.Parâmetros_Verm'!$H$40*'5.Mira'!$I$20*'6.Cibernético'!$C$24*'6.Cibernético'!$D$23*'8.MotorCalc'!$K$32)+('7.Config'!$F$12*'4.Parâmetros_Verm'!$D$49*'4.Parâmetros_Verm'!$F$49*'4.Parâmetros_Verm'!$G$49*'4.Parâmetros_Verm'!$H$49*'5.Mira'!$I$21*'6.Cibernético'!$C$24*'6.Cibernético'!$D$23*'8.MotorCalc'!$K$33)</f>
        <v>0.42070891224745782</v>
      </c>
      <c r="L47" s="69">
        <f>('7.Config'!$F$10*'4.Parâmetros_Verm'!$D$13*'4.Parâmetros_Verm'!$F$13*'4.Parâmetros_Verm'!$G$13*'4.Parâmetros_Verm'!$H$13*'5.Mira'!$I$17*'6.Cibernético'!$C$24*'6.Cibernético'!$D$23*'8.MotorCalc'!$L$29)+('7.Config'!$F$10*'4.Parâmetros_Verm'!$D$22*'4.Parâmetros_Verm'!$F$22*'4.Parâmetros_Verm'!$G$22*'4.Parâmetros_Verm'!$H$22*'5.Mira'!$I$18*'6.Cibernético'!$C$24*'6.Cibernético'!$D$23*'8.MotorCalc'!$L$30)+('7.Config'!$F$12*'4.Parâmetros_Verm'!$D$31*'4.Parâmetros_Verm'!$F$31*'4.Parâmetros_Verm'!$G$31*'4.Parâmetros_Verm'!$H$31*'5.Mira'!$I$19*'6.Cibernético'!$C$24*'6.Cibernético'!$D$23*'8.MotorCalc'!$L$31)+('7.Config'!$F$12*'4.Parâmetros_Verm'!$D$40*'4.Parâmetros_Verm'!$F$40*'4.Parâmetros_Verm'!$G$40*'4.Parâmetros_Verm'!$H$40*'5.Mira'!$I$20*'6.Cibernético'!$C$24*'6.Cibernético'!$D$23*'8.MotorCalc'!$L$32)+('7.Config'!$F$12*'4.Parâmetros_Verm'!$D$49*'4.Parâmetros_Verm'!$F$49*'4.Parâmetros_Verm'!$G$49*'4.Parâmetros_Verm'!$H$49*'5.Mira'!$I$21*'6.Cibernético'!$C$24*'6.Cibernético'!$D$23*'8.MotorCalc'!$L$33)</f>
        <v>0.41898373412850037</v>
      </c>
    </row>
    <row r="48" spans="1:12" x14ac:dyDescent="0.2">
      <c r="A48" s="68" t="s">
        <v>211</v>
      </c>
      <c r="B48" s="40" t="s">
        <v>81</v>
      </c>
      <c r="C48" s="69">
        <f>('7.Config'!$C$10*'3.Parâmetros_Azul'!$D$7*'3.Parâmetros_Azul'!$F$7*'3.Parâmetros_Azul'!$G$7*'3.Parâmetros_Azul'!$H$7*'5.Mira'!$C$6*'6.Cibernético'!$C$23*'6.Cibernético'!$D$24*'8.MotorCalc'!$C$34)+('7.Config'!$C$10*'3.Parâmetros_Azul'!$D$14*'3.Parâmetros_Azul'!$F$14*'3.Parâmetros_Azul'!$G$14*'3.Parâmetros_Azul'!$H$14*'5.Mira'!$C$7*'6.Cibernético'!$C$23*'6.Cibernético'!$D$24*'8.MotorCalc'!$C$35)+('7.Config'!$C$11*'3.Parâmetros_Azul'!$D$21*'3.Parâmetros_Azul'!$F$21*'3.Parâmetros_Azul'!$G$21*'3.Parâmetros_Azul'!$H$21*'5.Mira'!$C$8*'6.Cibernético'!$C$25*'6.Cibernético'!$D$24*'8.MotorCalc'!$C$36)+('7.Config'!$C$12*'3.Parâmetros_Azul'!$D$28*'3.Parâmetros_Azul'!$F$28*'3.Parâmetros_Azul'!$G$28*'3.Parâmetros_Azul'!$H$28*'5.Mira'!$C$9*'6.Cibernético'!$C$23*'6.Cibernético'!$D$24*'8.MotorCalc'!$C$37)+('7.Config'!$C$12*'3.Parâmetros_Azul'!$D$35*'3.Parâmetros_Azul'!$F$35*'3.Parâmetros_Azul'!$G$35*'3.Parâmetros_Azul'!$H$35*'5.Mira'!$C$10*'6.Cibernético'!$C$23*'6.Cibernético'!$D$24*'8.MotorCalc'!$C$38)+('7.Config'!$C$13*'3.Parâmetros_Azul'!$D$42*'3.Parâmetros_Azul'!$F$42*'3.Parâmetros_Azul'!$G$42*'3.Parâmetros_Azul'!$H$42*'5.Mira'!$C$11*'6.Cibernético'!$C$23*'6.Cibernético'!$D$24*'8.MotorCalc'!$C$39)+('7.Config'!$C$13*'3.Parâmetros_Azul'!$D$49*'3.Parâmetros_Azul'!$F$49*'3.Parâmetros_Azul'!$G$49*'3.Parâmetros_Azul'!$H$49*'5.Mira'!$C$12*'6.Cibernético'!$C$23*'6.Cibernético'!$D$24*'8.MotorCalc'!$C$40)</f>
        <v>1.3538678137549709</v>
      </c>
      <c r="D48" s="69">
        <f>('7.Config'!$C$10*'3.Parâmetros_Azul'!$D$7*'3.Parâmetros_Azul'!$F$7*'3.Parâmetros_Azul'!$G$7*'3.Parâmetros_Azul'!$H$7*'5.Mira'!$C$6*'6.Cibernético'!$C$23*'6.Cibernético'!$D$24*'8.MotorCalc'!$D$34)+('7.Config'!$C$10*'3.Parâmetros_Azul'!$D$14*'3.Parâmetros_Azul'!$F$14*'3.Parâmetros_Azul'!$G$14*'3.Parâmetros_Azul'!$H$14*'5.Mira'!$C$7*'6.Cibernético'!$C$23*'6.Cibernético'!$D$24*'8.MotorCalc'!$D$35)+('7.Config'!$C$11*'3.Parâmetros_Azul'!$D$21*'3.Parâmetros_Azul'!$F$21*'3.Parâmetros_Azul'!$G$21*'3.Parâmetros_Azul'!$H$21*'5.Mira'!$C$8*'6.Cibernético'!$C$25*'6.Cibernético'!$D$24*'8.MotorCalc'!$D$36)+('7.Config'!$C$12*'3.Parâmetros_Azul'!$D$28*'3.Parâmetros_Azul'!$F$28*'3.Parâmetros_Azul'!$G$28*'3.Parâmetros_Azul'!$H$28*'5.Mira'!$C$9*'6.Cibernético'!$C$23*'6.Cibernético'!$D$24*'8.MotorCalc'!$D$37)+('7.Config'!$C$12*'3.Parâmetros_Azul'!$D$35*'3.Parâmetros_Azul'!$F$35*'3.Parâmetros_Azul'!$G$35*'3.Parâmetros_Azul'!$H$35*'5.Mira'!$C$10*'6.Cibernético'!$C$23*'6.Cibernético'!$D$24*'8.MotorCalc'!$D$38)+('7.Config'!$C$13*'3.Parâmetros_Azul'!$D$42*'3.Parâmetros_Azul'!$F$42*'3.Parâmetros_Azul'!$G$42*'3.Parâmetros_Azul'!$H$42*'5.Mira'!$C$11*'6.Cibernético'!$C$23*'6.Cibernético'!$D$24*'8.MotorCalc'!$D$39)+('7.Config'!$C$13*'3.Parâmetros_Azul'!$D$49*'3.Parâmetros_Azul'!$F$49*'3.Parâmetros_Azul'!$G$49*'3.Parâmetros_Azul'!$H$49*'5.Mira'!$C$12*'6.Cibernético'!$C$23*'6.Cibernético'!$D$24*'8.MotorCalc'!$D$40)</f>
        <v>1.3508074490940696</v>
      </c>
      <c r="E48" s="69">
        <f>('7.Config'!$C$10*'3.Parâmetros_Azul'!$D$7*'3.Parâmetros_Azul'!$F$7*'3.Parâmetros_Azul'!$G$7*'3.Parâmetros_Azul'!$H$7*'5.Mira'!$C$6*'6.Cibernético'!$C$23*'6.Cibernético'!$D$24*'8.MotorCalc'!$E$34)+('7.Config'!$C$10*'3.Parâmetros_Azul'!$D$14*'3.Parâmetros_Azul'!$F$14*'3.Parâmetros_Azul'!$G$14*'3.Parâmetros_Azul'!$H$14*'5.Mira'!$C$7*'6.Cibernético'!$C$23*'6.Cibernético'!$D$24*'8.MotorCalc'!$E$35)+('7.Config'!$C$11*'3.Parâmetros_Azul'!$D$21*'3.Parâmetros_Azul'!$F$21*'3.Parâmetros_Azul'!$G$21*'3.Parâmetros_Azul'!$H$21*'5.Mira'!$C$8*'6.Cibernético'!$C$25*'6.Cibernético'!$D$24*'8.MotorCalc'!$E$36)+('7.Config'!$C$12*'3.Parâmetros_Azul'!$D$28*'3.Parâmetros_Azul'!$F$28*'3.Parâmetros_Azul'!$G$28*'3.Parâmetros_Azul'!$H$28*'5.Mira'!$C$9*'6.Cibernético'!$C$23*'6.Cibernético'!$D$24*'8.MotorCalc'!$E$37)+('7.Config'!$C$12*'3.Parâmetros_Azul'!$D$35*'3.Parâmetros_Azul'!$F$35*'3.Parâmetros_Azul'!$G$35*'3.Parâmetros_Azul'!$H$35*'5.Mira'!$C$10*'6.Cibernético'!$C$23*'6.Cibernético'!$D$24*'8.MotorCalc'!$E$38)+('7.Config'!$C$13*'3.Parâmetros_Azul'!$D$42*'3.Parâmetros_Azul'!$F$42*'3.Parâmetros_Azul'!$G$42*'3.Parâmetros_Azul'!$H$42*'5.Mira'!$C$11*'6.Cibernético'!$C$23*'6.Cibernético'!$D$24*'8.MotorCalc'!$E$39)+('7.Config'!$C$13*'3.Parâmetros_Azul'!$D$49*'3.Parâmetros_Azul'!$F$49*'3.Parâmetros_Azul'!$G$49*'3.Parâmetros_Azul'!$H$49*'5.Mira'!$C$12*'6.Cibernético'!$C$23*'6.Cibernético'!$D$24*'8.MotorCalc'!$E$40)</f>
        <v>1.3477518863457032</v>
      </c>
      <c r="F48" s="69">
        <f>('7.Config'!$C$10*'3.Parâmetros_Azul'!$D$7*'3.Parâmetros_Azul'!$F$7*'3.Parâmetros_Azul'!$G$7*'3.Parâmetros_Azul'!$H$7*'5.Mira'!$C$6*'6.Cibernético'!$C$23*'6.Cibernético'!$D$24*'8.MotorCalc'!$F$34)+('7.Config'!$C$10*'3.Parâmetros_Azul'!$D$14*'3.Parâmetros_Azul'!$F$14*'3.Parâmetros_Azul'!$G$14*'3.Parâmetros_Azul'!$H$14*'5.Mira'!$C$7*'6.Cibernético'!$C$23*'6.Cibernético'!$D$24*'8.MotorCalc'!$F$35)+('7.Config'!$C$11*'3.Parâmetros_Azul'!$D$21*'3.Parâmetros_Azul'!$F$21*'3.Parâmetros_Azul'!$G$21*'3.Parâmetros_Azul'!$H$21*'5.Mira'!$C$8*'6.Cibernético'!$C$25*'6.Cibernético'!$D$24*'8.MotorCalc'!$F$36)+('7.Config'!$C$12*'3.Parâmetros_Azul'!$D$28*'3.Parâmetros_Azul'!$F$28*'3.Parâmetros_Azul'!$G$28*'3.Parâmetros_Azul'!$H$28*'5.Mira'!$C$9*'6.Cibernético'!$C$23*'6.Cibernético'!$D$24*'8.MotorCalc'!$F$37)+('7.Config'!$C$12*'3.Parâmetros_Azul'!$D$35*'3.Parâmetros_Azul'!$F$35*'3.Parâmetros_Azul'!$G$35*'3.Parâmetros_Azul'!$H$35*'5.Mira'!$C$10*'6.Cibernético'!$C$23*'6.Cibernético'!$D$24*'8.MotorCalc'!$F$38)+('7.Config'!$C$13*'3.Parâmetros_Azul'!$D$42*'3.Parâmetros_Azul'!$F$42*'3.Parâmetros_Azul'!$G$42*'3.Parâmetros_Azul'!$H$42*'5.Mira'!$C$11*'6.Cibernético'!$C$23*'6.Cibernético'!$D$24*'8.MotorCalc'!$F$39)+('7.Config'!$C$13*'3.Parâmetros_Azul'!$D$49*'3.Parâmetros_Azul'!$F$49*'3.Parâmetros_Azul'!$G$49*'3.Parâmetros_Azul'!$H$49*'5.Mira'!$C$12*'6.Cibernético'!$C$23*'6.Cibernético'!$D$24*'8.MotorCalc'!$F$40)</f>
        <v>1.344700925047865</v>
      </c>
      <c r="G48" s="69">
        <f>('7.Config'!$C$10*'3.Parâmetros_Azul'!$D$7*'3.Parâmetros_Azul'!$F$7*'3.Parâmetros_Azul'!$G$7*'3.Parâmetros_Azul'!$H$7*'5.Mira'!$C$6*'6.Cibernético'!$C$23*'6.Cibernético'!$D$24*'8.MotorCalc'!$G$34)+('7.Config'!$C$10*'3.Parâmetros_Azul'!$D$14*'3.Parâmetros_Azul'!$F$14*'3.Parâmetros_Azul'!$G$14*'3.Parâmetros_Azul'!$H$14*'5.Mira'!$C$7*'6.Cibernético'!$C$23*'6.Cibernético'!$D$24*'8.MotorCalc'!$G$35)+('7.Config'!$C$11*'3.Parâmetros_Azul'!$D$21*'3.Parâmetros_Azul'!$F$21*'3.Parâmetros_Azul'!$G$21*'3.Parâmetros_Azul'!$H$21*'5.Mira'!$C$8*'6.Cibernético'!$C$25*'6.Cibernético'!$D$24*'8.MotorCalc'!$G$36)+('7.Config'!$C$12*'3.Parâmetros_Azul'!$D$28*'3.Parâmetros_Azul'!$F$28*'3.Parâmetros_Azul'!$G$28*'3.Parâmetros_Azul'!$H$28*'5.Mira'!$C$9*'6.Cibernético'!$C$23*'6.Cibernético'!$D$24*'8.MotorCalc'!$G$37)+('7.Config'!$C$12*'3.Parâmetros_Azul'!$D$35*'3.Parâmetros_Azul'!$F$35*'3.Parâmetros_Azul'!$G$35*'3.Parâmetros_Azul'!$H$35*'5.Mira'!$C$10*'6.Cibernético'!$C$23*'6.Cibernético'!$D$24*'8.MotorCalc'!$G$38)+('7.Config'!$C$13*'3.Parâmetros_Azul'!$D$42*'3.Parâmetros_Azul'!$F$42*'3.Parâmetros_Azul'!$G$42*'3.Parâmetros_Azul'!$H$42*'5.Mira'!$C$11*'6.Cibernético'!$C$23*'6.Cibernético'!$D$24*'8.MotorCalc'!$G$39)+('7.Config'!$C$13*'3.Parâmetros_Azul'!$D$49*'3.Parâmetros_Azul'!$F$49*'3.Parâmetros_Azul'!$G$49*'3.Parâmetros_Azul'!$H$49*'5.Mira'!$C$12*'6.Cibernético'!$C$23*'6.Cibernético'!$D$24*'8.MotorCalc'!$G$40)</f>
        <v>1.3416516283921311</v>
      </c>
      <c r="H48" s="69">
        <f>('7.Config'!$C$10*'3.Parâmetros_Azul'!$D$7*'3.Parâmetros_Azul'!$F$7*'3.Parâmetros_Azul'!$G$7*'3.Parâmetros_Azul'!$H$7*'5.Mira'!$C$6*'6.Cibernético'!$C$23*'6.Cibernético'!$D$24*'8.MotorCalc'!$H$34)+('7.Config'!$C$10*'3.Parâmetros_Azul'!$D$14*'3.Parâmetros_Azul'!$F$14*'3.Parâmetros_Azul'!$G$14*'3.Parâmetros_Azul'!$H$14*'5.Mira'!$C$7*'6.Cibernético'!$C$23*'6.Cibernético'!$D$24*'8.MotorCalc'!$H$35)+('7.Config'!$C$11*'3.Parâmetros_Azul'!$D$21*'3.Parâmetros_Azul'!$F$21*'3.Parâmetros_Azul'!$G$21*'3.Parâmetros_Azul'!$H$21*'5.Mira'!$C$8*'6.Cibernético'!$C$25*'6.Cibernético'!$D$24*'8.MotorCalc'!$H$36)+('7.Config'!$C$12*'3.Parâmetros_Azul'!$D$28*'3.Parâmetros_Azul'!$F$28*'3.Parâmetros_Azul'!$G$28*'3.Parâmetros_Azul'!$H$28*'5.Mira'!$C$9*'6.Cibernético'!$C$23*'6.Cibernético'!$D$24*'8.MotorCalc'!$H$37)+('7.Config'!$C$12*'3.Parâmetros_Azul'!$D$35*'3.Parâmetros_Azul'!$F$35*'3.Parâmetros_Azul'!$G$35*'3.Parâmetros_Azul'!$H$35*'5.Mira'!$C$10*'6.Cibernético'!$C$23*'6.Cibernético'!$D$24*'8.MotorCalc'!$H$38)+('7.Config'!$C$13*'3.Parâmetros_Azul'!$D$42*'3.Parâmetros_Azul'!$F$42*'3.Parâmetros_Azul'!$G$42*'3.Parâmetros_Azul'!$H$42*'5.Mira'!$C$11*'6.Cibernético'!$C$23*'6.Cibernético'!$D$24*'8.MotorCalc'!$H$39)+('7.Config'!$C$13*'3.Parâmetros_Azul'!$D$49*'3.Parâmetros_Azul'!$F$49*'3.Parâmetros_Azul'!$G$49*'3.Parâmetros_Azul'!$H$49*'5.Mira'!$C$12*'6.Cibernético'!$C$23*'6.Cibernético'!$D$24*'8.MotorCalc'!$H$40)</f>
        <v>1.3386041424125386</v>
      </c>
      <c r="I48" s="69">
        <f>('7.Config'!$C$10*'3.Parâmetros_Azul'!$D$7*'3.Parâmetros_Azul'!$F$7*'3.Parâmetros_Azul'!$G$7*'3.Parâmetros_Azul'!$H$7*'5.Mira'!$C$6*'6.Cibernético'!$C$23*'6.Cibernético'!$D$24*'8.MotorCalc'!$I$34)+('7.Config'!$C$10*'3.Parâmetros_Azul'!$D$14*'3.Parâmetros_Azul'!$F$14*'3.Parâmetros_Azul'!$G$14*'3.Parâmetros_Azul'!$H$14*'5.Mira'!$C$7*'6.Cibernético'!$C$23*'6.Cibernético'!$D$24*'8.MotorCalc'!$I$35)+('7.Config'!$C$11*'3.Parâmetros_Azul'!$D$21*'3.Parâmetros_Azul'!$F$21*'3.Parâmetros_Azul'!$G$21*'3.Parâmetros_Azul'!$H$21*'5.Mira'!$C$8*'6.Cibernético'!$C$25*'6.Cibernético'!$D$24*'8.MotorCalc'!$I$36)+('7.Config'!$C$12*'3.Parâmetros_Azul'!$D$28*'3.Parâmetros_Azul'!$F$28*'3.Parâmetros_Azul'!$G$28*'3.Parâmetros_Azul'!$H$28*'5.Mira'!$C$9*'6.Cibernético'!$C$23*'6.Cibernético'!$D$24*'8.MotorCalc'!$I$37)+('7.Config'!$C$12*'3.Parâmetros_Azul'!$D$35*'3.Parâmetros_Azul'!$F$35*'3.Parâmetros_Azul'!$G$35*'3.Parâmetros_Azul'!$H$35*'5.Mira'!$C$10*'6.Cibernético'!$C$23*'6.Cibernético'!$D$24*'8.MotorCalc'!$I$38)+('7.Config'!$C$13*'3.Parâmetros_Azul'!$D$42*'3.Parâmetros_Azul'!$F$42*'3.Parâmetros_Azul'!$G$42*'3.Parâmetros_Azul'!$H$42*'5.Mira'!$C$11*'6.Cibernético'!$C$23*'6.Cibernético'!$D$24*'8.MotorCalc'!$I$39)+('7.Config'!$C$13*'3.Parâmetros_Azul'!$D$49*'3.Parâmetros_Azul'!$F$49*'3.Parâmetros_Azul'!$G$49*'3.Parâmetros_Azul'!$H$49*'5.Mira'!$C$12*'6.Cibernético'!$C$23*'6.Cibernético'!$D$24*'8.MotorCalc'!$I$40)</f>
        <v>1.3355586159453887</v>
      </c>
      <c r="J48" s="69">
        <f>('7.Config'!$C$10*'3.Parâmetros_Azul'!$D$7*'3.Parâmetros_Azul'!$F$7*'3.Parâmetros_Azul'!$G$7*'3.Parâmetros_Azul'!$H$7*'5.Mira'!$C$6*'6.Cibernético'!$C$23*'6.Cibernético'!$D$24*'8.MotorCalc'!$J$34)+('7.Config'!$C$10*'3.Parâmetros_Azul'!$D$14*'3.Parâmetros_Azul'!$F$14*'3.Parâmetros_Azul'!$G$14*'3.Parâmetros_Azul'!$H$14*'5.Mira'!$C$7*'6.Cibernético'!$C$23*'6.Cibernético'!$D$24*'8.MotorCalc'!$J$35)+('7.Config'!$C$11*'3.Parâmetros_Azul'!$D$21*'3.Parâmetros_Azul'!$F$21*'3.Parâmetros_Azul'!$G$21*'3.Parâmetros_Azul'!$H$21*'5.Mira'!$C$8*'6.Cibernético'!$C$25*'6.Cibernético'!$D$24*'8.MotorCalc'!$J$36)+('7.Config'!$C$12*'3.Parâmetros_Azul'!$D$28*'3.Parâmetros_Azul'!$F$28*'3.Parâmetros_Azul'!$G$28*'3.Parâmetros_Azul'!$H$28*'5.Mira'!$C$9*'6.Cibernético'!$C$23*'6.Cibernético'!$D$24*'8.MotorCalc'!$J$37)+('7.Config'!$C$12*'3.Parâmetros_Azul'!$D$35*'3.Parâmetros_Azul'!$F$35*'3.Parâmetros_Azul'!$G$35*'3.Parâmetros_Azul'!$H$35*'5.Mira'!$C$10*'6.Cibernético'!$C$23*'6.Cibernético'!$D$24*'8.MotorCalc'!$J$38)+('7.Config'!$C$13*'3.Parâmetros_Azul'!$D$42*'3.Parâmetros_Azul'!$F$42*'3.Parâmetros_Azul'!$G$42*'3.Parâmetros_Azul'!$H$42*'5.Mira'!$C$11*'6.Cibernético'!$C$23*'6.Cibernético'!$D$24*'8.MotorCalc'!$J$39)+('7.Config'!$C$13*'3.Parâmetros_Azul'!$D$49*'3.Parâmetros_Azul'!$F$49*'3.Parâmetros_Azul'!$G$49*'3.Parâmetros_Azul'!$H$49*'5.Mira'!$C$12*'6.Cibernético'!$C$23*'6.Cibernético'!$D$24*'8.MotorCalc'!$J$40)</f>
        <v>1.3325152006753995</v>
      </c>
      <c r="K48" s="69">
        <f>('7.Config'!$C$10*'3.Parâmetros_Azul'!$D$7*'3.Parâmetros_Azul'!$F$7*'3.Parâmetros_Azul'!$G$7*'3.Parâmetros_Azul'!$H$7*'5.Mira'!$C$6*'6.Cibernético'!$C$23*'6.Cibernético'!$D$24*'8.MotorCalc'!$K$34)+('7.Config'!$C$10*'3.Parâmetros_Azul'!$D$14*'3.Parâmetros_Azul'!$F$14*'3.Parâmetros_Azul'!$G$14*'3.Parâmetros_Azul'!$H$14*'5.Mira'!$C$7*'6.Cibernético'!$C$23*'6.Cibernético'!$D$24*'8.MotorCalc'!$K$35)+('7.Config'!$C$11*'3.Parâmetros_Azul'!$D$21*'3.Parâmetros_Azul'!$F$21*'3.Parâmetros_Azul'!$G$21*'3.Parâmetros_Azul'!$H$21*'5.Mira'!$C$8*'6.Cibernético'!$C$25*'6.Cibernético'!$D$24*'8.MotorCalc'!$K$36)+('7.Config'!$C$12*'3.Parâmetros_Azul'!$D$28*'3.Parâmetros_Azul'!$F$28*'3.Parâmetros_Azul'!$G$28*'3.Parâmetros_Azul'!$H$28*'5.Mira'!$C$9*'6.Cibernético'!$C$23*'6.Cibernético'!$D$24*'8.MotorCalc'!$K$37)+('7.Config'!$C$12*'3.Parâmetros_Azul'!$D$35*'3.Parâmetros_Azul'!$F$35*'3.Parâmetros_Azul'!$G$35*'3.Parâmetros_Azul'!$H$35*'5.Mira'!$C$10*'6.Cibernético'!$C$23*'6.Cibernético'!$D$24*'8.MotorCalc'!$K$38)+('7.Config'!$C$13*'3.Parâmetros_Azul'!$D$42*'3.Parâmetros_Azul'!$F$42*'3.Parâmetros_Azul'!$G$42*'3.Parâmetros_Azul'!$H$42*'5.Mira'!$C$11*'6.Cibernético'!$C$23*'6.Cibernético'!$D$24*'8.MotorCalc'!$K$39)+('7.Config'!$C$13*'3.Parâmetros_Azul'!$D$49*'3.Parâmetros_Azul'!$F$49*'3.Parâmetros_Azul'!$G$49*'3.Parâmetros_Azul'!$H$49*'5.Mira'!$C$12*'6.Cibernético'!$C$23*'6.Cibernético'!$D$24*'8.MotorCalc'!$K$40)</f>
        <v>1.3294740511825838</v>
      </c>
      <c r="L48" s="69">
        <f>('7.Config'!$C$10*'3.Parâmetros_Azul'!$D$7*'3.Parâmetros_Azul'!$F$7*'3.Parâmetros_Azul'!$G$7*'3.Parâmetros_Azul'!$H$7*'5.Mira'!$C$6*'6.Cibernético'!$C$23*'6.Cibernético'!$D$24*'8.MotorCalc'!$L$34)+('7.Config'!$C$10*'3.Parâmetros_Azul'!$D$14*'3.Parâmetros_Azul'!$F$14*'3.Parâmetros_Azul'!$G$14*'3.Parâmetros_Azul'!$H$14*'5.Mira'!$C$7*'6.Cibernético'!$C$23*'6.Cibernético'!$D$24*'8.MotorCalc'!$L$35)+('7.Config'!$C$11*'3.Parâmetros_Azul'!$D$21*'3.Parâmetros_Azul'!$F$21*'3.Parâmetros_Azul'!$G$21*'3.Parâmetros_Azul'!$H$21*'5.Mira'!$C$8*'6.Cibernético'!$C$25*'6.Cibernético'!$D$24*'8.MotorCalc'!$L$36)+('7.Config'!$C$12*'3.Parâmetros_Azul'!$D$28*'3.Parâmetros_Azul'!$F$28*'3.Parâmetros_Azul'!$G$28*'3.Parâmetros_Azul'!$H$28*'5.Mira'!$C$9*'6.Cibernético'!$C$23*'6.Cibernético'!$D$24*'8.MotorCalc'!$L$37)+('7.Config'!$C$12*'3.Parâmetros_Azul'!$D$35*'3.Parâmetros_Azul'!$F$35*'3.Parâmetros_Azul'!$G$35*'3.Parâmetros_Azul'!$H$35*'5.Mira'!$C$10*'6.Cibernético'!$C$23*'6.Cibernético'!$D$24*'8.MotorCalc'!$L$38)+('7.Config'!$C$13*'3.Parâmetros_Azul'!$D$42*'3.Parâmetros_Azul'!$F$42*'3.Parâmetros_Azul'!$G$42*'3.Parâmetros_Azul'!$H$42*'5.Mira'!$C$11*'6.Cibernético'!$C$23*'6.Cibernético'!$D$24*'8.MotorCalc'!$L$39)+('7.Config'!$C$13*'3.Parâmetros_Azul'!$D$49*'3.Parâmetros_Azul'!$F$49*'3.Parâmetros_Azul'!$G$49*'3.Parâmetros_Azul'!$H$49*'5.Mira'!$C$12*'6.Cibernético'!$C$23*'6.Cibernético'!$D$24*'8.MotorCalc'!$L$40)</f>
        <v>1.326435324989869</v>
      </c>
    </row>
    <row r="49" spans="1:12" x14ac:dyDescent="0.2">
      <c r="A49" s="68" t="s">
        <v>211</v>
      </c>
      <c r="B49" s="40" t="s">
        <v>83</v>
      </c>
      <c r="C49" s="69">
        <f>('7.Config'!$C$10*'3.Parâmetros_Azul'!$D$8*'3.Parâmetros_Azul'!$F$8*'3.Parâmetros_Azul'!$G$8*'3.Parâmetros_Azul'!$H$8*'5.Mira'!$D$6*'6.Cibernético'!$C$23*'6.Cibernético'!$D$24*'8.MotorCalc'!$C$34)+('7.Config'!$C$10*'3.Parâmetros_Azul'!$D$15*'3.Parâmetros_Azul'!$F$15*'3.Parâmetros_Azul'!$G$15*'3.Parâmetros_Azul'!$H$15*'5.Mira'!$D$7*'6.Cibernético'!$C$23*'6.Cibernético'!$D$24*'8.MotorCalc'!$C$35)+('7.Config'!$C$11*'3.Parâmetros_Azul'!$D$22*'3.Parâmetros_Azul'!$F$22*'3.Parâmetros_Azul'!$G$22*'3.Parâmetros_Azul'!$H$22*'5.Mira'!$D$8*'6.Cibernético'!$C$25*'6.Cibernético'!$D$24*'8.MotorCalc'!$C$36)+('7.Config'!$C$12*'3.Parâmetros_Azul'!$D$29*'3.Parâmetros_Azul'!$F$29*'3.Parâmetros_Azul'!$G$29*'3.Parâmetros_Azul'!$H$29*'5.Mira'!$D$9*'6.Cibernético'!$C$23*'6.Cibernético'!$D$24*'8.MotorCalc'!$C$37)+('7.Config'!$C$12*'3.Parâmetros_Azul'!$D$36*'3.Parâmetros_Azul'!$F$36*'3.Parâmetros_Azul'!$G$36*'3.Parâmetros_Azul'!$H$36*'5.Mira'!$D$10*'6.Cibernético'!$C$23*'6.Cibernético'!$D$24*'8.MotorCalc'!$C$38)+('7.Config'!$C$13*'3.Parâmetros_Azul'!$D$43*'3.Parâmetros_Azul'!$F$43*'3.Parâmetros_Azul'!$G$43*'3.Parâmetros_Azul'!$H$43*'5.Mira'!$D$11*'6.Cibernético'!$C$23*'6.Cibernético'!$D$24*'8.MotorCalc'!$C$39)+('7.Config'!$C$13*'3.Parâmetros_Azul'!$D$50*'3.Parâmetros_Azul'!$F$50*'3.Parâmetros_Azul'!$G$50*'3.Parâmetros_Azul'!$H$50*'5.Mira'!$D$12*'6.Cibernético'!$C$23*'6.Cibernético'!$D$24*'8.MotorCalc'!$C$40)</f>
        <v>1.3538678137549709</v>
      </c>
      <c r="D49" s="69">
        <f>('7.Config'!$C$10*'3.Parâmetros_Azul'!$D$8*'3.Parâmetros_Azul'!$F$8*'3.Parâmetros_Azul'!$G$8*'3.Parâmetros_Azul'!$H$8*'5.Mira'!$D$6*'6.Cibernético'!$C$23*'6.Cibernético'!$D$24*'8.MotorCalc'!$D$34)+('7.Config'!$C$10*'3.Parâmetros_Azul'!$D$15*'3.Parâmetros_Azul'!$F$15*'3.Parâmetros_Azul'!$G$15*'3.Parâmetros_Azul'!$H$15*'5.Mira'!$D$7*'6.Cibernético'!$C$23*'6.Cibernético'!$D$24*'8.MotorCalc'!$D$35)+('7.Config'!$C$11*'3.Parâmetros_Azul'!$D$22*'3.Parâmetros_Azul'!$F$22*'3.Parâmetros_Azul'!$G$22*'3.Parâmetros_Azul'!$H$22*'5.Mira'!$D$8*'6.Cibernético'!$C$25*'6.Cibernético'!$D$24*'8.MotorCalc'!$D$36)+('7.Config'!$C$12*'3.Parâmetros_Azul'!$D$29*'3.Parâmetros_Azul'!$F$29*'3.Parâmetros_Azul'!$G$29*'3.Parâmetros_Azul'!$H$29*'5.Mira'!$D$9*'6.Cibernético'!$C$23*'6.Cibernético'!$D$24*'8.MotorCalc'!$D$37)+('7.Config'!$C$12*'3.Parâmetros_Azul'!$D$36*'3.Parâmetros_Azul'!$F$36*'3.Parâmetros_Azul'!$G$36*'3.Parâmetros_Azul'!$H$36*'5.Mira'!$D$10*'6.Cibernético'!$C$23*'6.Cibernético'!$D$24*'8.MotorCalc'!$D$38)+('7.Config'!$C$13*'3.Parâmetros_Azul'!$D$43*'3.Parâmetros_Azul'!$F$43*'3.Parâmetros_Azul'!$G$43*'3.Parâmetros_Azul'!$H$43*'5.Mira'!$D$11*'6.Cibernético'!$C$23*'6.Cibernético'!$D$24*'8.MotorCalc'!$D$39)+('7.Config'!$C$13*'3.Parâmetros_Azul'!$D$50*'3.Parâmetros_Azul'!$F$50*'3.Parâmetros_Azul'!$G$50*'3.Parâmetros_Azul'!$H$50*'5.Mira'!$D$12*'6.Cibernético'!$C$23*'6.Cibernético'!$D$24*'8.MotorCalc'!$D$40)</f>
        <v>1.3508074490940696</v>
      </c>
      <c r="E49" s="69">
        <f>('7.Config'!$C$10*'3.Parâmetros_Azul'!$D$8*'3.Parâmetros_Azul'!$F$8*'3.Parâmetros_Azul'!$G$8*'3.Parâmetros_Azul'!$H$8*'5.Mira'!$D$6*'6.Cibernético'!$C$23*'6.Cibernético'!$D$24*'8.MotorCalc'!$E$34)+('7.Config'!$C$10*'3.Parâmetros_Azul'!$D$15*'3.Parâmetros_Azul'!$F$15*'3.Parâmetros_Azul'!$G$15*'3.Parâmetros_Azul'!$H$15*'5.Mira'!$D$7*'6.Cibernético'!$C$23*'6.Cibernético'!$D$24*'8.MotorCalc'!$E$35)+('7.Config'!$C$11*'3.Parâmetros_Azul'!$D$22*'3.Parâmetros_Azul'!$F$22*'3.Parâmetros_Azul'!$G$22*'3.Parâmetros_Azul'!$H$22*'5.Mira'!$D$8*'6.Cibernético'!$C$25*'6.Cibernético'!$D$24*'8.MotorCalc'!$E$36)+('7.Config'!$C$12*'3.Parâmetros_Azul'!$D$29*'3.Parâmetros_Azul'!$F$29*'3.Parâmetros_Azul'!$G$29*'3.Parâmetros_Azul'!$H$29*'5.Mira'!$D$9*'6.Cibernético'!$C$23*'6.Cibernético'!$D$24*'8.MotorCalc'!$E$37)+('7.Config'!$C$12*'3.Parâmetros_Azul'!$D$36*'3.Parâmetros_Azul'!$F$36*'3.Parâmetros_Azul'!$G$36*'3.Parâmetros_Azul'!$H$36*'5.Mira'!$D$10*'6.Cibernético'!$C$23*'6.Cibernético'!$D$24*'8.MotorCalc'!$E$38)+('7.Config'!$C$13*'3.Parâmetros_Azul'!$D$43*'3.Parâmetros_Azul'!$F$43*'3.Parâmetros_Azul'!$G$43*'3.Parâmetros_Azul'!$H$43*'5.Mira'!$D$11*'6.Cibernético'!$C$23*'6.Cibernético'!$D$24*'8.MotorCalc'!$E$39)+('7.Config'!$C$13*'3.Parâmetros_Azul'!$D$50*'3.Parâmetros_Azul'!$F$50*'3.Parâmetros_Azul'!$G$50*'3.Parâmetros_Azul'!$H$50*'5.Mira'!$D$12*'6.Cibernético'!$C$23*'6.Cibernético'!$D$24*'8.MotorCalc'!$E$40)</f>
        <v>1.3477518863457032</v>
      </c>
      <c r="F49" s="69">
        <f>('7.Config'!$C$10*'3.Parâmetros_Azul'!$D$8*'3.Parâmetros_Azul'!$F$8*'3.Parâmetros_Azul'!$G$8*'3.Parâmetros_Azul'!$H$8*'5.Mira'!$D$6*'6.Cibernético'!$C$23*'6.Cibernético'!$D$24*'8.MotorCalc'!$F$34)+('7.Config'!$C$10*'3.Parâmetros_Azul'!$D$15*'3.Parâmetros_Azul'!$F$15*'3.Parâmetros_Azul'!$G$15*'3.Parâmetros_Azul'!$H$15*'5.Mira'!$D$7*'6.Cibernético'!$C$23*'6.Cibernético'!$D$24*'8.MotorCalc'!$F$35)+('7.Config'!$C$11*'3.Parâmetros_Azul'!$D$22*'3.Parâmetros_Azul'!$F$22*'3.Parâmetros_Azul'!$G$22*'3.Parâmetros_Azul'!$H$22*'5.Mira'!$D$8*'6.Cibernético'!$C$25*'6.Cibernético'!$D$24*'8.MotorCalc'!$F$36)+('7.Config'!$C$12*'3.Parâmetros_Azul'!$D$29*'3.Parâmetros_Azul'!$F$29*'3.Parâmetros_Azul'!$G$29*'3.Parâmetros_Azul'!$H$29*'5.Mira'!$D$9*'6.Cibernético'!$C$23*'6.Cibernético'!$D$24*'8.MotorCalc'!$F$37)+('7.Config'!$C$12*'3.Parâmetros_Azul'!$D$36*'3.Parâmetros_Azul'!$F$36*'3.Parâmetros_Azul'!$G$36*'3.Parâmetros_Azul'!$H$36*'5.Mira'!$D$10*'6.Cibernético'!$C$23*'6.Cibernético'!$D$24*'8.MotorCalc'!$F$38)+('7.Config'!$C$13*'3.Parâmetros_Azul'!$D$43*'3.Parâmetros_Azul'!$F$43*'3.Parâmetros_Azul'!$G$43*'3.Parâmetros_Azul'!$H$43*'5.Mira'!$D$11*'6.Cibernético'!$C$23*'6.Cibernético'!$D$24*'8.MotorCalc'!$F$39)+('7.Config'!$C$13*'3.Parâmetros_Azul'!$D$50*'3.Parâmetros_Azul'!$F$50*'3.Parâmetros_Azul'!$G$50*'3.Parâmetros_Azul'!$H$50*'5.Mira'!$D$12*'6.Cibernético'!$C$23*'6.Cibernético'!$D$24*'8.MotorCalc'!$F$40)</f>
        <v>1.344700925047865</v>
      </c>
      <c r="G49" s="69">
        <f>('7.Config'!$C$10*'3.Parâmetros_Azul'!$D$8*'3.Parâmetros_Azul'!$F$8*'3.Parâmetros_Azul'!$G$8*'3.Parâmetros_Azul'!$H$8*'5.Mira'!$D$6*'6.Cibernético'!$C$23*'6.Cibernético'!$D$24*'8.MotorCalc'!$G$34)+('7.Config'!$C$10*'3.Parâmetros_Azul'!$D$15*'3.Parâmetros_Azul'!$F$15*'3.Parâmetros_Azul'!$G$15*'3.Parâmetros_Azul'!$H$15*'5.Mira'!$D$7*'6.Cibernético'!$C$23*'6.Cibernético'!$D$24*'8.MotorCalc'!$G$35)+('7.Config'!$C$11*'3.Parâmetros_Azul'!$D$22*'3.Parâmetros_Azul'!$F$22*'3.Parâmetros_Azul'!$G$22*'3.Parâmetros_Azul'!$H$22*'5.Mira'!$D$8*'6.Cibernético'!$C$25*'6.Cibernético'!$D$24*'8.MotorCalc'!$G$36)+('7.Config'!$C$12*'3.Parâmetros_Azul'!$D$29*'3.Parâmetros_Azul'!$F$29*'3.Parâmetros_Azul'!$G$29*'3.Parâmetros_Azul'!$H$29*'5.Mira'!$D$9*'6.Cibernético'!$C$23*'6.Cibernético'!$D$24*'8.MotorCalc'!$G$37)+('7.Config'!$C$12*'3.Parâmetros_Azul'!$D$36*'3.Parâmetros_Azul'!$F$36*'3.Parâmetros_Azul'!$G$36*'3.Parâmetros_Azul'!$H$36*'5.Mira'!$D$10*'6.Cibernético'!$C$23*'6.Cibernético'!$D$24*'8.MotorCalc'!$G$38)+('7.Config'!$C$13*'3.Parâmetros_Azul'!$D$43*'3.Parâmetros_Azul'!$F$43*'3.Parâmetros_Azul'!$G$43*'3.Parâmetros_Azul'!$H$43*'5.Mira'!$D$11*'6.Cibernético'!$C$23*'6.Cibernético'!$D$24*'8.MotorCalc'!$G$39)+('7.Config'!$C$13*'3.Parâmetros_Azul'!$D$50*'3.Parâmetros_Azul'!$F$50*'3.Parâmetros_Azul'!$G$50*'3.Parâmetros_Azul'!$H$50*'5.Mira'!$D$12*'6.Cibernético'!$C$23*'6.Cibernético'!$D$24*'8.MotorCalc'!$G$40)</f>
        <v>1.3416516283921311</v>
      </c>
      <c r="H49" s="69">
        <f>('7.Config'!$C$10*'3.Parâmetros_Azul'!$D$8*'3.Parâmetros_Azul'!$F$8*'3.Parâmetros_Azul'!$G$8*'3.Parâmetros_Azul'!$H$8*'5.Mira'!$D$6*'6.Cibernético'!$C$23*'6.Cibernético'!$D$24*'8.MotorCalc'!$H$34)+('7.Config'!$C$10*'3.Parâmetros_Azul'!$D$15*'3.Parâmetros_Azul'!$F$15*'3.Parâmetros_Azul'!$G$15*'3.Parâmetros_Azul'!$H$15*'5.Mira'!$D$7*'6.Cibernético'!$C$23*'6.Cibernético'!$D$24*'8.MotorCalc'!$H$35)+('7.Config'!$C$11*'3.Parâmetros_Azul'!$D$22*'3.Parâmetros_Azul'!$F$22*'3.Parâmetros_Azul'!$G$22*'3.Parâmetros_Azul'!$H$22*'5.Mira'!$D$8*'6.Cibernético'!$C$25*'6.Cibernético'!$D$24*'8.MotorCalc'!$H$36)+('7.Config'!$C$12*'3.Parâmetros_Azul'!$D$29*'3.Parâmetros_Azul'!$F$29*'3.Parâmetros_Azul'!$G$29*'3.Parâmetros_Azul'!$H$29*'5.Mira'!$D$9*'6.Cibernético'!$C$23*'6.Cibernético'!$D$24*'8.MotorCalc'!$H$37)+('7.Config'!$C$12*'3.Parâmetros_Azul'!$D$36*'3.Parâmetros_Azul'!$F$36*'3.Parâmetros_Azul'!$G$36*'3.Parâmetros_Azul'!$H$36*'5.Mira'!$D$10*'6.Cibernético'!$C$23*'6.Cibernético'!$D$24*'8.MotorCalc'!$H$38)+('7.Config'!$C$13*'3.Parâmetros_Azul'!$D$43*'3.Parâmetros_Azul'!$F$43*'3.Parâmetros_Azul'!$G$43*'3.Parâmetros_Azul'!$H$43*'5.Mira'!$D$11*'6.Cibernético'!$C$23*'6.Cibernético'!$D$24*'8.MotorCalc'!$H$39)+('7.Config'!$C$13*'3.Parâmetros_Azul'!$D$50*'3.Parâmetros_Azul'!$F$50*'3.Parâmetros_Azul'!$G$50*'3.Parâmetros_Azul'!$H$50*'5.Mira'!$D$12*'6.Cibernético'!$C$23*'6.Cibernético'!$D$24*'8.MotorCalc'!$H$40)</f>
        <v>1.3386041424125386</v>
      </c>
      <c r="I49" s="69">
        <f>('7.Config'!$C$10*'3.Parâmetros_Azul'!$D$8*'3.Parâmetros_Azul'!$F$8*'3.Parâmetros_Azul'!$G$8*'3.Parâmetros_Azul'!$H$8*'5.Mira'!$D$6*'6.Cibernético'!$C$23*'6.Cibernético'!$D$24*'8.MotorCalc'!$I$34)+('7.Config'!$C$10*'3.Parâmetros_Azul'!$D$15*'3.Parâmetros_Azul'!$F$15*'3.Parâmetros_Azul'!$G$15*'3.Parâmetros_Azul'!$H$15*'5.Mira'!$D$7*'6.Cibernético'!$C$23*'6.Cibernético'!$D$24*'8.MotorCalc'!$I$35)+('7.Config'!$C$11*'3.Parâmetros_Azul'!$D$22*'3.Parâmetros_Azul'!$F$22*'3.Parâmetros_Azul'!$G$22*'3.Parâmetros_Azul'!$H$22*'5.Mira'!$D$8*'6.Cibernético'!$C$25*'6.Cibernético'!$D$24*'8.MotorCalc'!$I$36)+('7.Config'!$C$12*'3.Parâmetros_Azul'!$D$29*'3.Parâmetros_Azul'!$F$29*'3.Parâmetros_Azul'!$G$29*'3.Parâmetros_Azul'!$H$29*'5.Mira'!$D$9*'6.Cibernético'!$C$23*'6.Cibernético'!$D$24*'8.MotorCalc'!$I$37)+('7.Config'!$C$12*'3.Parâmetros_Azul'!$D$36*'3.Parâmetros_Azul'!$F$36*'3.Parâmetros_Azul'!$G$36*'3.Parâmetros_Azul'!$H$36*'5.Mira'!$D$10*'6.Cibernético'!$C$23*'6.Cibernético'!$D$24*'8.MotorCalc'!$I$38)+('7.Config'!$C$13*'3.Parâmetros_Azul'!$D$43*'3.Parâmetros_Azul'!$F$43*'3.Parâmetros_Azul'!$G$43*'3.Parâmetros_Azul'!$H$43*'5.Mira'!$D$11*'6.Cibernético'!$C$23*'6.Cibernético'!$D$24*'8.MotorCalc'!$I$39)+('7.Config'!$C$13*'3.Parâmetros_Azul'!$D$50*'3.Parâmetros_Azul'!$F$50*'3.Parâmetros_Azul'!$G$50*'3.Parâmetros_Azul'!$H$50*'5.Mira'!$D$12*'6.Cibernético'!$C$23*'6.Cibernético'!$D$24*'8.MotorCalc'!$I$40)</f>
        <v>1.3355586159453887</v>
      </c>
      <c r="J49" s="69">
        <f>('7.Config'!$C$10*'3.Parâmetros_Azul'!$D$8*'3.Parâmetros_Azul'!$F$8*'3.Parâmetros_Azul'!$G$8*'3.Parâmetros_Azul'!$H$8*'5.Mira'!$D$6*'6.Cibernético'!$C$23*'6.Cibernético'!$D$24*'8.MotorCalc'!$J$34)+('7.Config'!$C$10*'3.Parâmetros_Azul'!$D$15*'3.Parâmetros_Azul'!$F$15*'3.Parâmetros_Azul'!$G$15*'3.Parâmetros_Azul'!$H$15*'5.Mira'!$D$7*'6.Cibernético'!$C$23*'6.Cibernético'!$D$24*'8.MotorCalc'!$J$35)+('7.Config'!$C$11*'3.Parâmetros_Azul'!$D$22*'3.Parâmetros_Azul'!$F$22*'3.Parâmetros_Azul'!$G$22*'3.Parâmetros_Azul'!$H$22*'5.Mira'!$D$8*'6.Cibernético'!$C$25*'6.Cibernético'!$D$24*'8.MotorCalc'!$J$36)+('7.Config'!$C$12*'3.Parâmetros_Azul'!$D$29*'3.Parâmetros_Azul'!$F$29*'3.Parâmetros_Azul'!$G$29*'3.Parâmetros_Azul'!$H$29*'5.Mira'!$D$9*'6.Cibernético'!$C$23*'6.Cibernético'!$D$24*'8.MotorCalc'!$J$37)+('7.Config'!$C$12*'3.Parâmetros_Azul'!$D$36*'3.Parâmetros_Azul'!$F$36*'3.Parâmetros_Azul'!$G$36*'3.Parâmetros_Azul'!$H$36*'5.Mira'!$D$10*'6.Cibernético'!$C$23*'6.Cibernético'!$D$24*'8.MotorCalc'!$J$38)+('7.Config'!$C$13*'3.Parâmetros_Azul'!$D$43*'3.Parâmetros_Azul'!$F$43*'3.Parâmetros_Azul'!$G$43*'3.Parâmetros_Azul'!$H$43*'5.Mira'!$D$11*'6.Cibernético'!$C$23*'6.Cibernético'!$D$24*'8.MotorCalc'!$J$39)+('7.Config'!$C$13*'3.Parâmetros_Azul'!$D$50*'3.Parâmetros_Azul'!$F$50*'3.Parâmetros_Azul'!$G$50*'3.Parâmetros_Azul'!$H$50*'5.Mira'!$D$12*'6.Cibernético'!$C$23*'6.Cibernético'!$D$24*'8.MotorCalc'!$J$40)</f>
        <v>1.3325152006753995</v>
      </c>
      <c r="K49" s="69">
        <f>('7.Config'!$C$10*'3.Parâmetros_Azul'!$D$8*'3.Parâmetros_Azul'!$F$8*'3.Parâmetros_Azul'!$G$8*'3.Parâmetros_Azul'!$H$8*'5.Mira'!$D$6*'6.Cibernético'!$C$23*'6.Cibernético'!$D$24*'8.MotorCalc'!$K$34)+('7.Config'!$C$10*'3.Parâmetros_Azul'!$D$15*'3.Parâmetros_Azul'!$F$15*'3.Parâmetros_Azul'!$G$15*'3.Parâmetros_Azul'!$H$15*'5.Mira'!$D$7*'6.Cibernético'!$C$23*'6.Cibernético'!$D$24*'8.MotorCalc'!$K$35)+('7.Config'!$C$11*'3.Parâmetros_Azul'!$D$22*'3.Parâmetros_Azul'!$F$22*'3.Parâmetros_Azul'!$G$22*'3.Parâmetros_Azul'!$H$22*'5.Mira'!$D$8*'6.Cibernético'!$C$25*'6.Cibernético'!$D$24*'8.MotorCalc'!$K$36)+('7.Config'!$C$12*'3.Parâmetros_Azul'!$D$29*'3.Parâmetros_Azul'!$F$29*'3.Parâmetros_Azul'!$G$29*'3.Parâmetros_Azul'!$H$29*'5.Mira'!$D$9*'6.Cibernético'!$C$23*'6.Cibernético'!$D$24*'8.MotorCalc'!$K$37)+('7.Config'!$C$12*'3.Parâmetros_Azul'!$D$36*'3.Parâmetros_Azul'!$F$36*'3.Parâmetros_Azul'!$G$36*'3.Parâmetros_Azul'!$H$36*'5.Mira'!$D$10*'6.Cibernético'!$C$23*'6.Cibernético'!$D$24*'8.MotorCalc'!$K$38)+('7.Config'!$C$13*'3.Parâmetros_Azul'!$D$43*'3.Parâmetros_Azul'!$F$43*'3.Parâmetros_Azul'!$G$43*'3.Parâmetros_Azul'!$H$43*'5.Mira'!$D$11*'6.Cibernético'!$C$23*'6.Cibernético'!$D$24*'8.MotorCalc'!$K$39)+('7.Config'!$C$13*'3.Parâmetros_Azul'!$D$50*'3.Parâmetros_Azul'!$F$50*'3.Parâmetros_Azul'!$G$50*'3.Parâmetros_Azul'!$H$50*'5.Mira'!$D$12*'6.Cibernético'!$C$23*'6.Cibernético'!$D$24*'8.MotorCalc'!$K$40)</f>
        <v>1.3294740511825838</v>
      </c>
      <c r="L49" s="69">
        <f>('7.Config'!$C$10*'3.Parâmetros_Azul'!$D$8*'3.Parâmetros_Azul'!$F$8*'3.Parâmetros_Azul'!$G$8*'3.Parâmetros_Azul'!$H$8*'5.Mira'!$D$6*'6.Cibernético'!$C$23*'6.Cibernético'!$D$24*'8.MotorCalc'!$L$34)+('7.Config'!$C$10*'3.Parâmetros_Azul'!$D$15*'3.Parâmetros_Azul'!$F$15*'3.Parâmetros_Azul'!$G$15*'3.Parâmetros_Azul'!$H$15*'5.Mira'!$D$7*'6.Cibernético'!$C$23*'6.Cibernético'!$D$24*'8.MotorCalc'!$L$35)+('7.Config'!$C$11*'3.Parâmetros_Azul'!$D$22*'3.Parâmetros_Azul'!$F$22*'3.Parâmetros_Azul'!$G$22*'3.Parâmetros_Azul'!$H$22*'5.Mira'!$D$8*'6.Cibernético'!$C$25*'6.Cibernético'!$D$24*'8.MotorCalc'!$L$36)+('7.Config'!$C$12*'3.Parâmetros_Azul'!$D$29*'3.Parâmetros_Azul'!$F$29*'3.Parâmetros_Azul'!$G$29*'3.Parâmetros_Azul'!$H$29*'5.Mira'!$D$9*'6.Cibernético'!$C$23*'6.Cibernético'!$D$24*'8.MotorCalc'!$L$37)+('7.Config'!$C$12*'3.Parâmetros_Azul'!$D$36*'3.Parâmetros_Azul'!$F$36*'3.Parâmetros_Azul'!$G$36*'3.Parâmetros_Azul'!$H$36*'5.Mira'!$D$10*'6.Cibernético'!$C$23*'6.Cibernético'!$D$24*'8.MotorCalc'!$L$38)+('7.Config'!$C$13*'3.Parâmetros_Azul'!$D$43*'3.Parâmetros_Azul'!$F$43*'3.Parâmetros_Azul'!$G$43*'3.Parâmetros_Azul'!$H$43*'5.Mira'!$D$11*'6.Cibernético'!$C$23*'6.Cibernético'!$D$24*'8.MotorCalc'!$L$39)+('7.Config'!$C$13*'3.Parâmetros_Azul'!$D$50*'3.Parâmetros_Azul'!$F$50*'3.Parâmetros_Azul'!$G$50*'3.Parâmetros_Azul'!$H$50*'5.Mira'!$D$12*'6.Cibernético'!$C$23*'6.Cibernético'!$D$24*'8.MotorCalc'!$L$40)</f>
        <v>1.326435324989869</v>
      </c>
    </row>
    <row r="50" spans="1:12" x14ac:dyDescent="0.2">
      <c r="A50" s="68" t="s">
        <v>211</v>
      </c>
      <c r="B50" s="40" t="s">
        <v>86</v>
      </c>
      <c r="C50" s="69">
        <f>('7.Config'!$E$10*'3.Parâmetros_Azul'!$D$9*'3.Parâmetros_Azul'!$F$9*'3.Parâmetros_Azul'!$G$9*'3.Parâmetros_Azul'!$H$9*'5.Mira'!$E$6*'6.Cibernético'!$C$23*'6.Cibernético'!$D$24*'8.MotorCalc'!$C$34)+('7.Config'!$E$10*'3.Parâmetros_Azul'!$D$16*'3.Parâmetros_Azul'!$F$16*'3.Parâmetros_Azul'!$G$16*'3.Parâmetros_Azul'!$H$16*'5.Mira'!$E$7*'6.Cibernético'!$C$23*'6.Cibernético'!$D$24*'8.MotorCalc'!$C$35)+('7.Config'!$E$11*'3.Parâmetros_Azul'!$D$23*'3.Parâmetros_Azul'!$F$23*'3.Parâmetros_Azul'!$G$23*'3.Parâmetros_Azul'!$H$23*'5.Mira'!$E$8*'6.Cibernético'!$C$25*'6.Cibernético'!$D$24*'8.MotorCalc'!$C$36)+('7.Config'!$E$12*'3.Parâmetros_Azul'!$D$30*'3.Parâmetros_Azul'!$F$30*'3.Parâmetros_Azul'!$G$30*'3.Parâmetros_Azul'!$H$30*'5.Mira'!$E$9*'6.Cibernético'!$C$23*'6.Cibernético'!$D$24*'8.MotorCalc'!$C$37)+('7.Config'!$E$12*'3.Parâmetros_Azul'!$D$37*'3.Parâmetros_Azul'!$F$37*'3.Parâmetros_Azul'!$G$37*'3.Parâmetros_Azul'!$H$37*'5.Mira'!$E$10*'6.Cibernético'!$C$23*'6.Cibernético'!$D$24*'8.MotorCalc'!$C$38)+('7.Config'!$E$13*'3.Parâmetros_Azul'!$D$44*'3.Parâmetros_Azul'!$F$44*'3.Parâmetros_Azul'!$G$44*'3.Parâmetros_Azul'!$H$44*'5.Mira'!$E$11*'6.Cibernético'!$C$23*'6.Cibernético'!$D$24*'8.MotorCalc'!$C$39)+('7.Config'!$E$13*'3.Parâmetros_Azul'!$D$51*'3.Parâmetros_Azul'!$F$51*'3.Parâmetros_Azul'!$G$51*'3.Parâmetros_Azul'!$H$51*'5.Mira'!$E$12*'6.Cibernético'!$C$23*'6.Cibernético'!$D$24*'8.MotorCalc'!$C$40)</f>
        <v>0.34381778378592576</v>
      </c>
      <c r="D50" s="69">
        <f>('7.Config'!$E$10*'3.Parâmetros_Azul'!$D$9*'3.Parâmetros_Azul'!$F$9*'3.Parâmetros_Azul'!$G$9*'3.Parâmetros_Azul'!$H$9*'5.Mira'!$E$6*'6.Cibernético'!$C$23*'6.Cibernético'!$D$24*'8.MotorCalc'!$D$34)+('7.Config'!$E$10*'3.Parâmetros_Azul'!$D$16*'3.Parâmetros_Azul'!$F$16*'3.Parâmetros_Azul'!$G$16*'3.Parâmetros_Azul'!$H$16*'5.Mira'!$E$7*'6.Cibernético'!$C$23*'6.Cibernético'!$D$24*'8.MotorCalc'!$D$35)+('7.Config'!$E$11*'3.Parâmetros_Azul'!$D$23*'3.Parâmetros_Azul'!$F$23*'3.Parâmetros_Azul'!$G$23*'3.Parâmetros_Azul'!$H$23*'5.Mira'!$E$8*'6.Cibernético'!$C$25*'6.Cibernético'!$D$24*'8.MotorCalc'!$D$36)+('7.Config'!$E$12*'3.Parâmetros_Azul'!$D$30*'3.Parâmetros_Azul'!$F$30*'3.Parâmetros_Azul'!$G$30*'3.Parâmetros_Azul'!$H$30*'5.Mira'!$E$9*'6.Cibernético'!$C$23*'6.Cibernético'!$D$24*'8.MotorCalc'!$D$37)+('7.Config'!$E$12*'3.Parâmetros_Azul'!$D$37*'3.Parâmetros_Azul'!$F$37*'3.Parâmetros_Azul'!$G$37*'3.Parâmetros_Azul'!$H$37*'5.Mira'!$E$10*'6.Cibernético'!$C$23*'6.Cibernético'!$D$24*'8.MotorCalc'!$D$38)+('7.Config'!$E$13*'3.Parâmetros_Azul'!$D$44*'3.Parâmetros_Azul'!$F$44*'3.Parâmetros_Azul'!$G$44*'3.Parâmetros_Azul'!$H$44*'5.Mira'!$E$11*'6.Cibernético'!$C$23*'6.Cibernético'!$D$24*'8.MotorCalc'!$D$39)+('7.Config'!$E$13*'3.Parâmetros_Azul'!$D$51*'3.Parâmetros_Azul'!$F$51*'3.Parâmetros_Azul'!$G$51*'3.Parâmetros_Azul'!$H$51*'5.Mira'!$E$12*'6.Cibernético'!$C$23*'6.Cibernético'!$D$24*'8.MotorCalc'!$D$40)</f>
        <v>0.34270424069526062</v>
      </c>
      <c r="E50" s="69">
        <f>('7.Config'!$E$10*'3.Parâmetros_Azul'!$D$9*'3.Parâmetros_Azul'!$F$9*'3.Parâmetros_Azul'!$G$9*'3.Parâmetros_Azul'!$H$9*'5.Mira'!$E$6*'6.Cibernético'!$C$23*'6.Cibernético'!$D$24*'8.MotorCalc'!$E$34)+('7.Config'!$E$10*'3.Parâmetros_Azul'!$D$16*'3.Parâmetros_Azul'!$F$16*'3.Parâmetros_Azul'!$G$16*'3.Parâmetros_Azul'!$H$16*'5.Mira'!$E$7*'6.Cibernético'!$C$23*'6.Cibernético'!$D$24*'8.MotorCalc'!$E$35)+('7.Config'!$E$11*'3.Parâmetros_Azul'!$D$23*'3.Parâmetros_Azul'!$F$23*'3.Parâmetros_Azul'!$G$23*'3.Parâmetros_Azul'!$H$23*'5.Mira'!$E$8*'6.Cibernético'!$C$25*'6.Cibernético'!$D$24*'8.MotorCalc'!$E$36)+('7.Config'!$E$12*'3.Parâmetros_Azul'!$D$30*'3.Parâmetros_Azul'!$F$30*'3.Parâmetros_Azul'!$G$30*'3.Parâmetros_Azul'!$H$30*'5.Mira'!$E$9*'6.Cibernético'!$C$23*'6.Cibernético'!$D$24*'8.MotorCalc'!$E$37)+('7.Config'!$E$12*'3.Parâmetros_Azul'!$D$37*'3.Parâmetros_Azul'!$F$37*'3.Parâmetros_Azul'!$G$37*'3.Parâmetros_Azul'!$H$37*'5.Mira'!$E$10*'6.Cibernético'!$C$23*'6.Cibernético'!$D$24*'8.MotorCalc'!$E$38)+('7.Config'!$E$13*'3.Parâmetros_Azul'!$D$44*'3.Parâmetros_Azul'!$F$44*'3.Parâmetros_Azul'!$G$44*'3.Parâmetros_Azul'!$H$44*'5.Mira'!$E$11*'6.Cibernético'!$C$23*'6.Cibernético'!$D$24*'8.MotorCalc'!$E$39)+('7.Config'!$E$13*'3.Parâmetros_Azul'!$D$51*'3.Parâmetros_Azul'!$F$51*'3.Parâmetros_Azul'!$G$51*'3.Parâmetros_Azul'!$H$51*'5.Mira'!$E$12*'6.Cibernético'!$C$23*'6.Cibernético'!$D$24*'8.MotorCalc'!$E$40)</f>
        <v>0.34159067380851632</v>
      </c>
      <c r="F50" s="69">
        <f>('7.Config'!$E$10*'3.Parâmetros_Azul'!$D$9*'3.Parâmetros_Azul'!$F$9*'3.Parâmetros_Azul'!$G$9*'3.Parâmetros_Azul'!$H$9*'5.Mira'!$E$6*'6.Cibernético'!$C$23*'6.Cibernético'!$D$24*'8.MotorCalc'!$F$34)+('7.Config'!$E$10*'3.Parâmetros_Azul'!$D$16*'3.Parâmetros_Azul'!$F$16*'3.Parâmetros_Azul'!$G$16*'3.Parâmetros_Azul'!$H$16*'5.Mira'!$E$7*'6.Cibernético'!$C$23*'6.Cibernético'!$D$24*'8.MotorCalc'!$F$35)+('7.Config'!$E$11*'3.Parâmetros_Azul'!$D$23*'3.Parâmetros_Azul'!$F$23*'3.Parâmetros_Azul'!$G$23*'3.Parâmetros_Azul'!$H$23*'5.Mira'!$E$8*'6.Cibernético'!$C$25*'6.Cibernético'!$D$24*'8.MotorCalc'!$F$36)+('7.Config'!$E$12*'3.Parâmetros_Azul'!$D$30*'3.Parâmetros_Azul'!$F$30*'3.Parâmetros_Azul'!$G$30*'3.Parâmetros_Azul'!$H$30*'5.Mira'!$E$9*'6.Cibernético'!$C$23*'6.Cibernético'!$D$24*'8.MotorCalc'!$F$37)+('7.Config'!$E$12*'3.Parâmetros_Azul'!$D$37*'3.Parâmetros_Azul'!$F$37*'3.Parâmetros_Azul'!$G$37*'3.Parâmetros_Azul'!$H$37*'5.Mira'!$E$10*'6.Cibernético'!$C$23*'6.Cibernético'!$D$24*'8.MotorCalc'!$F$38)+('7.Config'!$E$13*'3.Parâmetros_Azul'!$D$44*'3.Parâmetros_Azul'!$F$44*'3.Parâmetros_Azul'!$G$44*'3.Parâmetros_Azul'!$H$44*'5.Mira'!$E$11*'6.Cibernético'!$C$23*'6.Cibernético'!$D$24*'8.MotorCalc'!$F$39)+('7.Config'!$E$13*'3.Parâmetros_Azul'!$D$51*'3.Parâmetros_Azul'!$F$51*'3.Parâmetros_Azul'!$G$51*'3.Parâmetros_Azul'!$H$51*'5.Mira'!$E$12*'6.Cibernético'!$C$23*'6.Cibernético'!$D$24*'8.MotorCalc'!$F$40)</f>
        <v>0.34047707027392149</v>
      </c>
      <c r="G50" s="69">
        <f>('7.Config'!$E$10*'3.Parâmetros_Azul'!$D$9*'3.Parâmetros_Azul'!$F$9*'3.Parâmetros_Azul'!$G$9*'3.Parâmetros_Azul'!$H$9*'5.Mira'!$E$6*'6.Cibernético'!$C$23*'6.Cibernético'!$D$24*'8.MotorCalc'!$G$34)+('7.Config'!$E$10*'3.Parâmetros_Azul'!$D$16*'3.Parâmetros_Azul'!$F$16*'3.Parâmetros_Azul'!$G$16*'3.Parâmetros_Azul'!$H$16*'5.Mira'!$E$7*'6.Cibernético'!$C$23*'6.Cibernético'!$D$24*'8.MotorCalc'!$G$35)+('7.Config'!$E$11*'3.Parâmetros_Azul'!$D$23*'3.Parâmetros_Azul'!$F$23*'3.Parâmetros_Azul'!$G$23*'3.Parâmetros_Azul'!$H$23*'5.Mira'!$E$8*'6.Cibernético'!$C$25*'6.Cibernético'!$D$24*'8.MotorCalc'!$G$36)+('7.Config'!$E$12*'3.Parâmetros_Azul'!$D$30*'3.Parâmetros_Azul'!$F$30*'3.Parâmetros_Azul'!$G$30*'3.Parâmetros_Azul'!$H$30*'5.Mira'!$E$9*'6.Cibernético'!$C$23*'6.Cibernético'!$D$24*'8.MotorCalc'!$G$37)+('7.Config'!$E$12*'3.Parâmetros_Azul'!$D$37*'3.Parâmetros_Azul'!$F$37*'3.Parâmetros_Azul'!$G$37*'3.Parâmetros_Azul'!$H$37*'5.Mira'!$E$10*'6.Cibernético'!$C$23*'6.Cibernético'!$D$24*'8.MotorCalc'!$G$38)+('7.Config'!$E$13*'3.Parâmetros_Azul'!$D$44*'3.Parâmetros_Azul'!$F$44*'3.Parâmetros_Azul'!$G$44*'3.Parâmetros_Azul'!$H$44*'5.Mira'!$E$11*'6.Cibernético'!$C$23*'6.Cibernético'!$D$24*'8.MotorCalc'!$G$39)+('7.Config'!$E$13*'3.Parâmetros_Azul'!$D$51*'3.Parâmetros_Azul'!$F$51*'3.Parâmetros_Azul'!$G$51*'3.Parâmetros_Azul'!$H$51*'5.Mira'!$E$12*'6.Cibernético'!$C$23*'6.Cibernético'!$D$24*'8.MotorCalc'!$G$40)</f>
        <v>0.33936292375181154</v>
      </c>
      <c r="H50" s="69">
        <f>('7.Config'!$E$10*'3.Parâmetros_Azul'!$D$9*'3.Parâmetros_Azul'!$F$9*'3.Parâmetros_Azul'!$G$9*'3.Parâmetros_Azul'!$H$9*'5.Mira'!$E$6*'6.Cibernético'!$C$23*'6.Cibernético'!$D$24*'8.MotorCalc'!$H$34)+('7.Config'!$E$10*'3.Parâmetros_Azul'!$D$16*'3.Parâmetros_Azul'!$F$16*'3.Parâmetros_Azul'!$G$16*'3.Parâmetros_Azul'!$H$16*'5.Mira'!$E$7*'6.Cibernético'!$C$23*'6.Cibernético'!$D$24*'8.MotorCalc'!$H$35)+('7.Config'!$E$11*'3.Parâmetros_Azul'!$D$23*'3.Parâmetros_Azul'!$F$23*'3.Parâmetros_Azul'!$G$23*'3.Parâmetros_Azul'!$H$23*'5.Mira'!$E$8*'6.Cibernético'!$C$25*'6.Cibernético'!$D$24*'8.MotorCalc'!$H$36)+('7.Config'!$E$12*'3.Parâmetros_Azul'!$D$30*'3.Parâmetros_Azul'!$F$30*'3.Parâmetros_Azul'!$G$30*'3.Parâmetros_Azul'!$H$30*'5.Mira'!$E$9*'6.Cibernético'!$C$23*'6.Cibernético'!$D$24*'8.MotorCalc'!$H$37)+('7.Config'!$E$12*'3.Parâmetros_Azul'!$D$37*'3.Parâmetros_Azul'!$F$37*'3.Parâmetros_Azul'!$G$37*'3.Parâmetros_Azul'!$H$37*'5.Mira'!$E$10*'6.Cibernético'!$C$23*'6.Cibernético'!$D$24*'8.MotorCalc'!$H$38)+('7.Config'!$E$13*'3.Parâmetros_Azul'!$D$44*'3.Parâmetros_Azul'!$F$44*'3.Parâmetros_Azul'!$G$44*'3.Parâmetros_Azul'!$H$44*'5.Mira'!$E$11*'6.Cibernético'!$C$23*'6.Cibernético'!$D$24*'8.MotorCalc'!$H$39)+('7.Config'!$E$13*'3.Parâmetros_Azul'!$D$51*'3.Parâmetros_Azul'!$F$51*'3.Parâmetros_Azul'!$G$51*'3.Parâmetros_Azul'!$H$51*'5.Mira'!$E$12*'6.Cibernético'!$C$23*'6.Cibernético'!$D$24*'8.MotorCalc'!$H$40)</f>
        <v>0.33824828510941796</v>
      </c>
      <c r="I50" s="69">
        <f>('7.Config'!$E$10*'3.Parâmetros_Azul'!$D$9*'3.Parâmetros_Azul'!$F$9*'3.Parâmetros_Azul'!$G$9*'3.Parâmetros_Azul'!$H$9*'5.Mira'!$E$6*'6.Cibernético'!$C$23*'6.Cibernético'!$D$24*'8.MotorCalc'!$I$34)+('7.Config'!$E$10*'3.Parâmetros_Azul'!$D$16*'3.Parâmetros_Azul'!$F$16*'3.Parâmetros_Azul'!$G$16*'3.Parâmetros_Azul'!$H$16*'5.Mira'!$E$7*'6.Cibernético'!$C$23*'6.Cibernético'!$D$24*'8.MotorCalc'!$I$35)+('7.Config'!$E$11*'3.Parâmetros_Azul'!$D$23*'3.Parâmetros_Azul'!$F$23*'3.Parâmetros_Azul'!$G$23*'3.Parâmetros_Azul'!$H$23*'5.Mira'!$E$8*'6.Cibernético'!$C$25*'6.Cibernético'!$D$24*'8.MotorCalc'!$I$36)+('7.Config'!$E$12*'3.Parâmetros_Azul'!$D$30*'3.Parâmetros_Azul'!$F$30*'3.Parâmetros_Azul'!$G$30*'3.Parâmetros_Azul'!$H$30*'5.Mira'!$E$9*'6.Cibernético'!$C$23*'6.Cibernético'!$D$24*'8.MotorCalc'!$I$37)+('7.Config'!$E$12*'3.Parâmetros_Azul'!$D$37*'3.Parâmetros_Azul'!$F$37*'3.Parâmetros_Azul'!$G$37*'3.Parâmetros_Azul'!$H$37*'5.Mira'!$E$10*'6.Cibernético'!$C$23*'6.Cibernético'!$D$24*'8.MotorCalc'!$I$38)+('7.Config'!$E$13*'3.Parâmetros_Azul'!$D$44*'3.Parâmetros_Azul'!$F$44*'3.Parâmetros_Azul'!$G$44*'3.Parâmetros_Azul'!$H$44*'5.Mira'!$E$11*'6.Cibernético'!$C$23*'6.Cibernético'!$D$24*'8.MotorCalc'!$I$39)+('7.Config'!$E$13*'3.Parâmetros_Azul'!$D$51*'3.Parâmetros_Azul'!$F$51*'3.Parâmetros_Azul'!$G$51*'3.Parâmetros_Azul'!$H$51*'5.Mira'!$E$12*'6.Cibernético'!$C$23*'6.Cibernético'!$D$24*'8.MotorCalc'!$I$40)</f>
        <v>0.33713320629346522</v>
      </c>
      <c r="J50" s="69">
        <f>('7.Config'!$E$10*'3.Parâmetros_Azul'!$D$9*'3.Parâmetros_Azul'!$F$9*'3.Parâmetros_Azul'!$G$9*'3.Parâmetros_Azul'!$H$9*'5.Mira'!$E$6*'6.Cibernético'!$C$23*'6.Cibernético'!$D$24*'8.MotorCalc'!$J$34)+('7.Config'!$E$10*'3.Parâmetros_Azul'!$D$16*'3.Parâmetros_Azul'!$F$16*'3.Parâmetros_Azul'!$G$16*'3.Parâmetros_Azul'!$H$16*'5.Mira'!$E$7*'6.Cibernético'!$C$23*'6.Cibernético'!$D$24*'8.MotorCalc'!$J$35)+('7.Config'!$E$11*'3.Parâmetros_Azul'!$D$23*'3.Parâmetros_Azul'!$F$23*'3.Parâmetros_Azul'!$G$23*'3.Parâmetros_Azul'!$H$23*'5.Mira'!$E$8*'6.Cibernético'!$C$25*'6.Cibernético'!$D$24*'8.MotorCalc'!$J$36)+('7.Config'!$E$12*'3.Parâmetros_Azul'!$D$30*'3.Parâmetros_Azul'!$F$30*'3.Parâmetros_Azul'!$G$30*'3.Parâmetros_Azul'!$H$30*'5.Mira'!$E$9*'6.Cibernético'!$C$23*'6.Cibernético'!$D$24*'8.MotorCalc'!$J$37)+('7.Config'!$E$12*'3.Parâmetros_Azul'!$D$37*'3.Parâmetros_Azul'!$F$37*'3.Parâmetros_Azul'!$G$37*'3.Parâmetros_Azul'!$H$37*'5.Mira'!$E$10*'6.Cibernético'!$C$23*'6.Cibernético'!$D$24*'8.MotorCalc'!$J$38)+('7.Config'!$E$13*'3.Parâmetros_Azul'!$D$44*'3.Parâmetros_Azul'!$F$44*'3.Parâmetros_Azul'!$G$44*'3.Parâmetros_Azul'!$H$44*'5.Mira'!$E$11*'6.Cibernético'!$C$23*'6.Cibernético'!$D$24*'8.MotorCalc'!$J$39)+('7.Config'!$E$13*'3.Parâmetros_Azul'!$D$51*'3.Parâmetros_Azul'!$F$51*'3.Parâmetros_Azul'!$G$51*'3.Parâmetros_Azul'!$H$51*'5.Mira'!$E$12*'6.Cibernético'!$C$23*'6.Cibernético'!$D$24*'8.MotorCalc'!$J$40)</f>
        <v>0.33601774034842236</v>
      </c>
      <c r="K50" s="69">
        <f>('7.Config'!$E$10*'3.Parâmetros_Azul'!$D$9*'3.Parâmetros_Azul'!$F$9*'3.Parâmetros_Azul'!$G$9*'3.Parâmetros_Azul'!$H$9*'5.Mira'!$E$6*'6.Cibernético'!$C$23*'6.Cibernético'!$D$24*'8.MotorCalc'!$K$34)+('7.Config'!$E$10*'3.Parâmetros_Azul'!$D$16*'3.Parâmetros_Azul'!$F$16*'3.Parâmetros_Azul'!$G$16*'3.Parâmetros_Azul'!$H$16*'5.Mira'!$E$7*'6.Cibernético'!$C$23*'6.Cibernético'!$D$24*'8.MotorCalc'!$K$35)+('7.Config'!$E$11*'3.Parâmetros_Azul'!$D$23*'3.Parâmetros_Azul'!$F$23*'3.Parâmetros_Azul'!$G$23*'3.Parâmetros_Azul'!$H$23*'5.Mira'!$E$8*'6.Cibernético'!$C$25*'6.Cibernético'!$D$24*'8.MotorCalc'!$K$36)+('7.Config'!$E$12*'3.Parâmetros_Azul'!$D$30*'3.Parâmetros_Azul'!$F$30*'3.Parâmetros_Azul'!$G$30*'3.Parâmetros_Azul'!$H$30*'5.Mira'!$E$9*'6.Cibernético'!$C$23*'6.Cibernético'!$D$24*'8.MotorCalc'!$K$37)+('7.Config'!$E$12*'3.Parâmetros_Azul'!$D$37*'3.Parâmetros_Azul'!$F$37*'3.Parâmetros_Azul'!$G$37*'3.Parâmetros_Azul'!$H$37*'5.Mira'!$E$10*'6.Cibernético'!$C$23*'6.Cibernético'!$D$24*'8.MotorCalc'!$K$38)+('7.Config'!$E$13*'3.Parâmetros_Azul'!$D$44*'3.Parâmetros_Azul'!$F$44*'3.Parâmetros_Azul'!$G$44*'3.Parâmetros_Azul'!$H$44*'5.Mira'!$E$11*'6.Cibernético'!$C$23*'6.Cibernético'!$D$24*'8.MotorCalc'!$K$39)+('7.Config'!$E$13*'3.Parâmetros_Azul'!$D$51*'3.Parâmetros_Azul'!$F$51*'3.Parâmetros_Azul'!$G$51*'3.Parâmetros_Azul'!$H$51*'5.Mira'!$E$12*'6.Cibernético'!$C$23*'6.Cibernético'!$D$24*'8.MotorCalc'!$K$40)</f>
        <v>0.3349019414350442</v>
      </c>
      <c r="L50" s="69">
        <f>('7.Config'!$E$10*'3.Parâmetros_Azul'!$D$9*'3.Parâmetros_Azul'!$F$9*'3.Parâmetros_Azul'!$G$9*'3.Parâmetros_Azul'!$H$9*'5.Mira'!$E$6*'6.Cibernético'!$C$23*'6.Cibernético'!$D$24*'8.MotorCalc'!$L$34)+('7.Config'!$E$10*'3.Parâmetros_Azul'!$D$16*'3.Parâmetros_Azul'!$F$16*'3.Parâmetros_Azul'!$G$16*'3.Parâmetros_Azul'!$H$16*'5.Mira'!$E$7*'6.Cibernético'!$C$23*'6.Cibernético'!$D$24*'8.MotorCalc'!$L$35)+('7.Config'!$E$11*'3.Parâmetros_Azul'!$D$23*'3.Parâmetros_Azul'!$F$23*'3.Parâmetros_Azul'!$G$23*'3.Parâmetros_Azul'!$H$23*'5.Mira'!$E$8*'6.Cibernético'!$C$25*'6.Cibernético'!$D$24*'8.MotorCalc'!$L$36)+('7.Config'!$E$12*'3.Parâmetros_Azul'!$D$30*'3.Parâmetros_Azul'!$F$30*'3.Parâmetros_Azul'!$G$30*'3.Parâmetros_Azul'!$H$30*'5.Mira'!$E$9*'6.Cibernético'!$C$23*'6.Cibernético'!$D$24*'8.MotorCalc'!$L$37)+('7.Config'!$E$12*'3.Parâmetros_Azul'!$D$37*'3.Parâmetros_Azul'!$F$37*'3.Parâmetros_Azul'!$G$37*'3.Parâmetros_Azul'!$H$37*'5.Mira'!$E$10*'6.Cibernético'!$C$23*'6.Cibernético'!$D$24*'8.MotorCalc'!$L$38)+('7.Config'!$E$13*'3.Parâmetros_Azul'!$D$44*'3.Parâmetros_Azul'!$F$44*'3.Parâmetros_Azul'!$G$44*'3.Parâmetros_Azul'!$H$44*'5.Mira'!$E$11*'6.Cibernético'!$C$23*'6.Cibernético'!$D$24*'8.MotorCalc'!$L$39)+('7.Config'!$E$13*'3.Parâmetros_Azul'!$D$51*'3.Parâmetros_Azul'!$F$51*'3.Parâmetros_Azul'!$G$51*'3.Parâmetros_Azul'!$H$51*'5.Mira'!$E$12*'6.Cibernético'!$C$23*'6.Cibernético'!$D$24*'8.MotorCalc'!$L$40)</f>
        <v>0.33378586484920814</v>
      </c>
    </row>
    <row r="51" spans="1:12" x14ac:dyDescent="0.2">
      <c r="A51" s="68" t="s">
        <v>211</v>
      </c>
      <c r="B51" s="40" t="s">
        <v>89</v>
      </c>
      <c r="C51" s="69">
        <f>('7.Config'!$E$10*'3.Parâmetros_Azul'!$D$10*'3.Parâmetros_Azul'!$F$10*'3.Parâmetros_Azul'!$G$10*'3.Parâmetros_Azul'!$H$10*'5.Mira'!$F$6*'6.Cibernético'!$C$23*'6.Cibernético'!$D$24*'8.MotorCalc'!$C$34)+('7.Config'!$E$10*'3.Parâmetros_Azul'!$D$17*'3.Parâmetros_Azul'!$F$17*'3.Parâmetros_Azul'!$G$17*'3.Parâmetros_Azul'!$H$17*'5.Mira'!$F$7*'6.Cibernético'!$C$23*'6.Cibernético'!$D$24*'8.MotorCalc'!$C$35)+('7.Config'!$E$11*'3.Parâmetros_Azul'!$D$24*'3.Parâmetros_Azul'!$F$24*'3.Parâmetros_Azul'!$G$24*'3.Parâmetros_Azul'!$H$24*'5.Mira'!$F$8*'6.Cibernético'!$C$25*'6.Cibernético'!$D$24*'8.MotorCalc'!$C$36)+('7.Config'!$E$12*'3.Parâmetros_Azul'!$D$31*'3.Parâmetros_Azul'!$F$31*'3.Parâmetros_Azul'!$G$31*'3.Parâmetros_Azul'!$H$31*'5.Mira'!$F$9*'6.Cibernético'!$C$23*'6.Cibernético'!$D$24*'8.MotorCalc'!$C$37)+('7.Config'!$E$12*'3.Parâmetros_Azul'!$D$38*'3.Parâmetros_Azul'!$F$38*'3.Parâmetros_Azul'!$G$38*'3.Parâmetros_Azul'!$H$38*'5.Mira'!$F$10*'6.Cibernético'!$C$23*'6.Cibernético'!$D$24*'8.MotorCalc'!$C$38)+('7.Config'!$E$13*'3.Parâmetros_Azul'!$D$45*'3.Parâmetros_Azul'!$F$45*'3.Parâmetros_Azul'!$G$45*'3.Parâmetros_Azul'!$H$45*'5.Mira'!$F$11*'6.Cibernético'!$C$23*'6.Cibernético'!$D$24*'8.MotorCalc'!$C$39)+('7.Config'!$E$13*'3.Parâmetros_Azul'!$D$52*'3.Parâmetros_Azul'!$F$52*'3.Parâmetros_Azul'!$G$52*'3.Parâmetros_Azul'!$H$52*'5.Mira'!$F$12*'6.Cibernético'!$C$23*'6.Cibernético'!$D$24*'8.MotorCalc'!$C$40)</f>
        <v>0.34381778378592576</v>
      </c>
      <c r="D51" s="69">
        <f>('7.Config'!$E$10*'3.Parâmetros_Azul'!$D$10*'3.Parâmetros_Azul'!$F$10*'3.Parâmetros_Azul'!$G$10*'3.Parâmetros_Azul'!$H$10*'5.Mira'!$F$6*'6.Cibernético'!$C$23*'6.Cibernético'!$D$24*'8.MotorCalc'!$D$34)+('7.Config'!$E$10*'3.Parâmetros_Azul'!$D$17*'3.Parâmetros_Azul'!$F$17*'3.Parâmetros_Azul'!$G$17*'3.Parâmetros_Azul'!$H$17*'5.Mira'!$F$7*'6.Cibernético'!$C$23*'6.Cibernético'!$D$24*'8.MotorCalc'!$D$35)+('7.Config'!$E$11*'3.Parâmetros_Azul'!$D$24*'3.Parâmetros_Azul'!$F$24*'3.Parâmetros_Azul'!$G$24*'3.Parâmetros_Azul'!$H$24*'5.Mira'!$F$8*'6.Cibernético'!$C$25*'6.Cibernético'!$D$24*'8.MotorCalc'!$D$36)+('7.Config'!$E$12*'3.Parâmetros_Azul'!$D$31*'3.Parâmetros_Azul'!$F$31*'3.Parâmetros_Azul'!$G$31*'3.Parâmetros_Azul'!$H$31*'5.Mira'!$F$9*'6.Cibernético'!$C$23*'6.Cibernético'!$D$24*'8.MotorCalc'!$D$37)+('7.Config'!$E$12*'3.Parâmetros_Azul'!$D$38*'3.Parâmetros_Azul'!$F$38*'3.Parâmetros_Azul'!$G$38*'3.Parâmetros_Azul'!$H$38*'5.Mira'!$F$10*'6.Cibernético'!$C$23*'6.Cibernético'!$D$24*'8.MotorCalc'!$D$38)+('7.Config'!$E$13*'3.Parâmetros_Azul'!$D$45*'3.Parâmetros_Azul'!$F$45*'3.Parâmetros_Azul'!$G$45*'3.Parâmetros_Azul'!$H$45*'5.Mira'!$F$11*'6.Cibernético'!$C$23*'6.Cibernético'!$D$24*'8.MotorCalc'!$D$39)+('7.Config'!$E$13*'3.Parâmetros_Azul'!$D$52*'3.Parâmetros_Azul'!$F$52*'3.Parâmetros_Azul'!$G$52*'3.Parâmetros_Azul'!$H$52*'5.Mira'!$F$12*'6.Cibernético'!$C$23*'6.Cibernético'!$D$24*'8.MotorCalc'!$D$40)</f>
        <v>0.34270424069526062</v>
      </c>
      <c r="E51" s="69">
        <f>('7.Config'!$E$10*'3.Parâmetros_Azul'!$D$10*'3.Parâmetros_Azul'!$F$10*'3.Parâmetros_Azul'!$G$10*'3.Parâmetros_Azul'!$H$10*'5.Mira'!$F$6*'6.Cibernético'!$C$23*'6.Cibernético'!$D$24*'8.MotorCalc'!$E$34)+('7.Config'!$E$10*'3.Parâmetros_Azul'!$D$17*'3.Parâmetros_Azul'!$F$17*'3.Parâmetros_Azul'!$G$17*'3.Parâmetros_Azul'!$H$17*'5.Mira'!$F$7*'6.Cibernético'!$C$23*'6.Cibernético'!$D$24*'8.MotorCalc'!$E$35)+('7.Config'!$E$11*'3.Parâmetros_Azul'!$D$24*'3.Parâmetros_Azul'!$F$24*'3.Parâmetros_Azul'!$G$24*'3.Parâmetros_Azul'!$H$24*'5.Mira'!$F$8*'6.Cibernético'!$C$25*'6.Cibernético'!$D$24*'8.MotorCalc'!$E$36)+('7.Config'!$E$12*'3.Parâmetros_Azul'!$D$31*'3.Parâmetros_Azul'!$F$31*'3.Parâmetros_Azul'!$G$31*'3.Parâmetros_Azul'!$H$31*'5.Mira'!$F$9*'6.Cibernético'!$C$23*'6.Cibernético'!$D$24*'8.MotorCalc'!$E$37)+('7.Config'!$E$12*'3.Parâmetros_Azul'!$D$38*'3.Parâmetros_Azul'!$F$38*'3.Parâmetros_Azul'!$G$38*'3.Parâmetros_Azul'!$H$38*'5.Mira'!$F$10*'6.Cibernético'!$C$23*'6.Cibernético'!$D$24*'8.MotorCalc'!$E$38)+('7.Config'!$E$13*'3.Parâmetros_Azul'!$D$45*'3.Parâmetros_Azul'!$F$45*'3.Parâmetros_Azul'!$G$45*'3.Parâmetros_Azul'!$H$45*'5.Mira'!$F$11*'6.Cibernético'!$C$23*'6.Cibernético'!$D$24*'8.MotorCalc'!$E$39)+('7.Config'!$E$13*'3.Parâmetros_Azul'!$D$52*'3.Parâmetros_Azul'!$F$52*'3.Parâmetros_Azul'!$G$52*'3.Parâmetros_Azul'!$H$52*'5.Mira'!$F$12*'6.Cibernético'!$C$23*'6.Cibernético'!$D$24*'8.MotorCalc'!$E$40)</f>
        <v>0.34159067380851632</v>
      </c>
      <c r="F51" s="69">
        <f>('7.Config'!$E$10*'3.Parâmetros_Azul'!$D$10*'3.Parâmetros_Azul'!$F$10*'3.Parâmetros_Azul'!$G$10*'3.Parâmetros_Azul'!$H$10*'5.Mira'!$F$6*'6.Cibernético'!$C$23*'6.Cibernético'!$D$24*'8.MotorCalc'!$F$34)+('7.Config'!$E$10*'3.Parâmetros_Azul'!$D$17*'3.Parâmetros_Azul'!$F$17*'3.Parâmetros_Azul'!$G$17*'3.Parâmetros_Azul'!$H$17*'5.Mira'!$F$7*'6.Cibernético'!$C$23*'6.Cibernético'!$D$24*'8.MotorCalc'!$F$35)+('7.Config'!$E$11*'3.Parâmetros_Azul'!$D$24*'3.Parâmetros_Azul'!$F$24*'3.Parâmetros_Azul'!$G$24*'3.Parâmetros_Azul'!$H$24*'5.Mira'!$F$8*'6.Cibernético'!$C$25*'6.Cibernético'!$D$24*'8.MotorCalc'!$F$36)+('7.Config'!$E$12*'3.Parâmetros_Azul'!$D$31*'3.Parâmetros_Azul'!$F$31*'3.Parâmetros_Azul'!$G$31*'3.Parâmetros_Azul'!$H$31*'5.Mira'!$F$9*'6.Cibernético'!$C$23*'6.Cibernético'!$D$24*'8.MotorCalc'!$F$37)+('7.Config'!$E$12*'3.Parâmetros_Azul'!$D$38*'3.Parâmetros_Azul'!$F$38*'3.Parâmetros_Azul'!$G$38*'3.Parâmetros_Azul'!$H$38*'5.Mira'!$F$10*'6.Cibernético'!$C$23*'6.Cibernético'!$D$24*'8.MotorCalc'!$F$38)+('7.Config'!$E$13*'3.Parâmetros_Azul'!$D$45*'3.Parâmetros_Azul'!$F$45*'3.Parâmetros_Azul'!$G$45*'3.Parâmetros_Azul'!$H$45*'5.Mira'!$F$11*'6.Cibernético'!$C$23*'6.Cibernético'!$D$24*'8.MotorCalc'!$F$39)+('7.Config'!$E$13*'3.Parâmetros_Azul'!$D$52*'3.Parâmetros_Azul'!$F$52*'3.Parâmetros_Azul'!$G$52*'3.Parâmetros_Azul'!$H$52*'5.Mira'!$F$12*'6.Cibernético'!$C$23*'6.Cibernético'!$D$24*'8.MotorCalc'!$F$40)</f>
        <v>0.34047707027392149</v>
      </c>
      <c r="G51" s="69">
        <f>('7.Config'!$E$10*'3.Parâmetros_Azul'!$D$10*'3.Parâmetros_Azul'!$F$10*'3.Parâmetros_Azul'!$G$10*'3.Parâmetros_Azul'!$H$10*'5.Mira'!$F$6*'6.Cibernético'!$C$23*'6.Cibernético'!$D$24*'8.MotorCalc'!$G$34)+('7.Config'!$E$10*'3.Parâmetros_Azul'!$D$17*'3.Parâmetros_Azul'!$F$17*'3.Parâmetros_Azul'!$G$17*'3.Parâmetros_Azul'!$H$17*'5.Mira'!$F$7*'6.Cibernético'!$C$23*'6.Cibernético'!$D$24*'8.MotorCalc'!$G$35)+('7.Config'!$E$11*'3.Parâmetros_Azul'!$D$24*'3.Parâmetros_Azul'!$F$24*'3.Parâmetros_Azul'!$G$24*'3.Parâmetros_Azul'!$H$24*'5.Mira'!$F$8*'6.Cibernético'!$C$25*'6.Cibernético'!$D$24*'8.MotorCalc'!$G$36)+('7.Config'!$E$12*'3.Parâmetros_Azul'!$D$31*'3.Parâmetros_Azul'!$F$31*'3.Parâmetros_Azul'!$G$31*'3.Parâmetros_Azul'!$H$31*'5.Mira'!$F$9*'6.Cibernético'!$C$23*'6.Cibernético'!$D$24*'8.MotorCalc'!$G$37)+('7.Config'!$E$12*'3.Parâmetros_Azul'!$D$38*'3.Parâmetros_Azul'!$F$38*'3.Parâmetros_Azul'!$G$38*'3.Parâmetros_Azul'!$H$38*'5.Mira'!$F$10*'6.Cibernético'!$C$23*'6.Cibernético'!$D$24*'8.MotorCalc'!$G$38)+('7.Config'!$E$13*'3.Parâmetros_Azul'!$D$45*'3.Parâmetros_Azul'!$F$45*'3.Parâmetros_Azul'!$G$45*'3.Parâmetros_Azul'!$H$45*'5.Mira'!$F$11*'6.Cibernético'!$C$23*'6.Cibernético'!$D$24*'8.MotorCalc'!$G$39)+('7.Config'!$E$13*'3.Parâmetros_Azul'!$D$52*'3.Parâmetros_Azul'!$F$52*'3.Parâmetros_Azul'!$G$52*'3.Parâmetros_Azul'!$H$52*'5.Mira'!$F$12*'6.Cibernético'!$C$23*'6.Cibernético'!$D$24*'8.MotorCalc'!$G$40)</f>
        <v>0.33936292375181154</v>
      </c>
      <c r="H51" s="69">
        <f>('7.Config'!$E$10*'3.Parâmetros_Azul'!$D$10*'3.Parâmetros_Azul'!$F$10*'3.Parâmetros_Azul'!$G$10*'3.Parâmetros_Azul'!$H$10*'5.Mira'!$F$6*'6.Cibernético'!$C$23*'6.Cibernético'!$D$24*'8.MotorCalc'!$H$34)+('7.Config'!$E$10*'3.Parâmetros_Azul'!$D$17*'3.Parâmetros_Azul'!$F$17*'3.Parâmetros_Azul'!$G$17*'3.Parâmetros_Azul'!$H$17*'5.Mira'!$F$7*'6.Cibernético'!$C$23*'6.Cibernético'!$D$24*'8.MotorCalc'!$H$35)+('7.Config'!$E$11*'3.Parâmetros_Azul'!$D$24*'3.Parâmetros_Azul'!$F$24*'3.Parâmetros_Azul'!$G$24*'3.Parâmetros_Azul'!$H$24*'5.Mira'!$F$8*'6.Cibernético'!$C$25*'6.Cibernético'!$D$24*'8.MotorCalc'!$H$36)+('7.Config'!$E$12*'3.Parâmetros_Azul'!$D$31*'3.Parâmetros_Azul'!$F$31*'3.Parâmetros_Azul'!$G$31*'3.Parâmetros_Azul'!$H$31*'5.Mira'!$F$9*'6.Cibernético'!$C$23*'6.Cibernético'!$D$24*'8.MotorCalc'!$H$37)+('7.Config'!$E$12*'3.Parâmetros_Azul'!$D$38*'3.Parâmetros_Azul'!$F$38*'3.Parâmetros_Azul'!$G$38*'3.Parâmetros_Azul'!$H$38*'5.Mira'!$F$10*'6.Cibernético'!$C$23*'6.Cibernético'!$D$24*'8.MotorCalc'!$H$38)+('7.Config'!$E$13*'3.Parâmetros_Azul'!$D$45*'3.Parâmetros_Azul'!$F$45*'3.Parâmetros_Azul'!$G$45*'3.Parâmetros_Azul'!$H$45*'5.Mira'!$F$11*'6.Cibernético'!$C$23*'6.Cibernético'!$D$24*'8.MotorCalc'!$H$39)+('7.Config'!$E$13*'3.Parâmetros_Azul'!$D$52*'3.Parâmetros_Azul'!$F$52*'3.Parâmetros_Azul'!$G$52*'3.Parâmetros_Azul'!$H$52*'5.Mira'!$F$12*'6.Cibernético'!$C$23*'6.Cibernético'!$D$24*'8.MotorCalc'!$H$40)</f>
        <v>0.33824828510941796</v>
      </c>
      <c r="I51" s="69">
        <f>('7.Config'!$E$10*'3.Parâmetros_Azul'!$D$10*'3.Parâmetros_Azul'!$F$10*'3.Parâmetros_Azul'!$G$10*'3.Parâmetros_Azul'!$H$10*'5.Mira'!$F$6*'6.Cibernético'!$C$23*'6.Cibernético'!$D$24*'8.MotorCalc'!$I$34)+('7.Config'!$E$10*'3.Parâmetros_Azul'!$D$17*'3.Parâmetros_Azul'!$F$17*'3.Parâmetros_Azul'!$G$17*'3.Parâmetros_Azul'!$H$17*'5.Mira'!$F$7*'6.Cibernético'!$C$23*'6.Cibernético'!$D$24*'8.MotorCalc'!$I$35)+('7.Config'!$E$11*'3.Parâmetros_Azul'!$D$24*'3.Parâmetros_Azul'!$F$24*'3.Parâmetros_Azul'!$G$24*'3.Parâmetros_Azul'!$H$24*'5.Mira'!$F$8*'6.Cibernético'!$C$25*'6.Cibernético'!$D$24*'8.MotorCalc'!$I$36)+('7.Config'!$E$12*'3.Parâmetros_Azul'!$D$31*'3.Parâmetros_Azul'!$F$31*'3.Parâmetros_Azul'!$G$31*'3.Parâmetros_Azul'!$H$31*'5.Mira'!$F$9*'6.Cibernético'!$C$23*'6.Cibernético'!$D$24*'8.MotorCalc'!$I$37)+('7.Config'!$E$12*'3.Parâmetros_Azul'!$D$38*'3.Parâmetros_Azul'!$F$38*'3.Parâmetros_Azul'!$G$38*'3.Parâmetros_Azul'!$H$38*'5.Mira'!$F$10*'6.Cibernético'!$C$23*'6.Cibernético'!$D$24*'8.MotorCalc'!$I$38)+('7.Config'!$E$13*'3.Parâmetros_Azul'!$D$45*'3.Parâmetros_Azul'!$F$45*'3.Parâmetros_Azul'!$G$45*'3.Parâmetros_Azul'!$H$45*'5.Mira'!$F$11*'6.Cibernético'!$C$23*'6.Cibernético'!$D$24*'8.MotorCalc'!$I$39)+('7.Config'!$E$13*'3.Parâmetros_Azul'!$D$52*'3.Parâmetros_Azul'!$F$52*'3.Parâmetros_Azul'!$G$52*'3.Parâmetros_Azul'!$H$52*'5.Mira'!$F$12*'6.Cibernético'!$C$23*'6.Cibernético'!$D$24*'8.MotorCalc'!$I$40)</f>
        <v>0.33713320629346522</v>
      </c>
      <c r="J51" s="69">
        <f>('7.Config'!$E$10*'3.Parâmetros_Azul'!$D$10*'3.Parâmetros_Azul'!$F$10*'3.Parâmetros_Azul'!$G$10*'3.Parâmetros_Azul'!$H$10*'5.Mira'!$F$6*'6.Cibernético'!$C$23*'6.Cibernético'!$D$24*'8.MotorCalc'!$J$34)+('7.Config'!$E$10*'3.Parâmetros_Azul'!$D$17*'3.Parâmetros_Azul'!$F$17*'3.Parâmetros_Azul'!$G$17*'3.Parâmetros_Azul'!$H$17*'5.Mira'!$F$7*'6.Cibernético'!$C$23*'6.Cibernético'!$D$24*'8.MotorCalc'!$J$35)+('7.Config'!$E$11*'3.Parâmetros_Azul'!$D$24*'3.Parâmetros_Azul'!$F$24*'3.Parâmetros_Azul'!$G$24*'3.Parâmetros_Azul'!$H$24*'5.Mira'!$F$8*'6.Cibernético'!$C$25*'6.Cibernético'!$D$24*'8.MotorCalc'!$J$36)+('7.Config'!$E$12*'3.Parâmetros_Azul'!$D$31*'3.Parâmetros_Azul'!$F$31*'3.Parâmetros_Azul'!$G$31*'3.Parâmetros_Azul'!$H$31*'5.Mira'!$F$9*'6.Cibernético'!$C$23*'6.Cibernético'!$D$24*'8.MotorCalc'!$J$37)+('7.Config'!$E$12*'3.Parâmetros_Azul'!$D$38*'3.Parâmetros_Azul'!$F$38*'3.Parâmetros_Azul'!$G$38*'3.Parâmetros_Azul'!$H$38*'5.Mira'!$F$10*'6.Cibernético'!$C$23*'6.Cibernético'!$D$24*'8.MotorCalc'!$J$38)+('7.Config'!$E$13*'3.Parâmetros_Azul'!$D$45*'3.Parâmetros_Azul'!$F$45*'3.Parâmetros_Azul'!$G$45*'3.Parâmetros_Azul'!$H$45*'5.Mira'!$F$11*'6.Cibernético'!$C$23*'6.Cibernético'!$D$24*'8.MotorCalc'!$J$39)+('7.Config'!$E$13*'3.Parâmetros_Azul'!$D$52*'3.Parâmetros_Azul'!$F$52*'3.Parâmetros_Azul'!$G$52*'3.Parâmetros_Azul'!$H$52*'5.Mira'!$F$12*'6.Cibernético'!$C$23*'6.Cibernético'!$D$24*'8.MotorCalc'!$J$40)</f>
        <v>0.33601774034842236</v>
      </c>
      <c r="K51" s="69">
        <f>('7.Config'!$E$10*'3.Parâmetros_Azul'!$D$10*'3.Parâmetros_Azul'!$F$10*'3.Parâmetros_Azul'!$G$10*'3.Parâmetros_Azul'!$H$10*'5.Mira'!$F$6*'6.Cibernético'!$C$23*'6.Cibernético'!$D$24*'8.MotorCalc'!$K$34)+('7.Config'!$E$10*'3.Parâmetros_Azul'!$D$17*'3.Parâmetros_Azul'!$F$17*'3.Parâmetros_Azul'!$G$17*'3.Parâmetros_Azul'!$H$17*'5.Mira'!$F$7*'6.Cibernético'!$C$23*'6.Cibernético'!$D$24*'8.MotorCalc'!$K$35)+('7.Config'!$E$11*'3.Parâmetros_Azul'!$D$24*'3.Parâmetros_Azul'!$F$24*'3.Parâmetros_Azul'!$G$24*'3.Parâmetros_Azul'!$H$24*'5.Mira'!$F$8*'6.Cibernético'!$C$25*'6.Cibernético'!$D$24*'8.MotorCalc'!$K$36)+('7.Config'!$E$12*'3.Parâmetros_Azul'!$D$31*'3.Parâmetros_Azul'!$F$31*'3.Parâmetros_Azul'!$G$31*'3.Parâmetros_Azul'!$H$31*'5.Mira'!$F$9*'6.Cibernético'!$C$23*'6.Cibernético'!$D$24*'8.MotorCalc'!$K$37)+('7.Config'!$E$12*'3.Parâmetros_Azul'!$D$38*'3.Parâmetros_Azul'!$F$38*'3.Parâmetros_Azul'!$G$38*'3.Parâmetros_Azul'!$H$38*'5.Mira'!$F$10*'6.Cibernético'!$C$23*'6.Cibernético'!$D$24*'8.MotorCalc'!$K$38)+('7.Config'!$E$13*'3.Parâmetros_Azul'!$D$45*'3.Parâmetros_Azul'!$F$45*'3.Parâmetros_Azul'!$G$45*'3.Parâmetros_Azul'!$H$45*'5.Mira'!$F$11*'6.Cibernético'!$C$23*'6.Cibernético'!$D$24*'8.MotorCalc'!$K$39)+('7.Config'!$E$13*'3.Parâmetros_Azul'!$D$52*'3.Parâmetros_Azul'!$F$52*'3.Parâmetros_Azul'!$G$52*'3.Parâmetros_Azul'!$H$52*'5.Mira'!$F$12*'6.Cibernético'!$C$23*'6.Cibernético'!$D$24*'8.MotorCalc'!$K$40)</f>
        <v>0.3349019414350442</v>
      </c>
      <c r="L51" s="69">
        <f>('7.Config'!$E$10*'3.Parâmetros_Azul'!$D$10*'3.Parâmetros_Azul'!$F$10*'3.Parâmetros_Azul'!$G$10*'3.Parâmetros_Azul'!$H$10*'5.Mira'!$F$6*'6.Cibernético'!$C$23*'6.Cibernético'!$D$24*'8.MotorCalc'!$L$34)+('7.Config'!$E$10*'3.Parâmetros_Azul'!$D$17*'3.Parâmetros_Azul'!$F$17*'3.Parâmetros_Azul'!$G$17*'3.Parâmetros_Azul'!$H$17*'5.Mira'!$F$7*'6.Cibernético'!$C$23*'6.Cibernético'!$D$24*'8.MotorCalc'!$L$35)+('7.Config'!$E$11*'3.Parâmetros_Azul'!$D$24*'3.Parâmetros_Azul'!$F$24*'3.Parâmetros_Azul'!$G$24*'3.Parâmetros_Azul'!$H$24*'5.Mira'!$F$8*'6.Cibernético'!$C$25*'6.Cibernético'!$D$24*'8.MotorCalc'!$L$36)+('7.Config'!$E$12*'3.Parâmetros_Azul'!$D$31*'3.Parâmetros_Azul'!$F$31*'3.Parâmetros_Azul'!$G$31*'3.Parâmetros_Azul'!$H$31*'5.Mira'!$F$9*'6.Cibernético'!$C$23*'6.Cibernético'!$D$24*'8.MotorCalc'!$L$37)+('7.Config'!$E$12*'3.Parâmetros_Azul'!$D$38*'3.Parâmetros_Azul'!$F$38*'3.Parâmetros_Azul'!$G$38*'3.Parâmetros_Azul'!$H$38*'5.Mira'!$F$10*'6.Cibernético'!$C$23*'6.Cibernético'!$D$24*'8.MotorCalc'!$L$38)+('7.Config'!$E$13*'3.Parâmetros_Azul'!$D$45*'3.Parâmetros_Azul'!$F$45*'3.Parâmetros_Azul'!$G$45*'3.Parâmetros_Azul'!$H$45*'5.Mira'!$F$11*'6.Cibernético'!$C$23*'6.Cibernético'!$D$24*'8.MotorCalc'!$L$39)+('7.Config'!$E$13*'3.Parâmetros_Azul'!$D$52*'3.Parâmetros_Azul'!$F$52*'3.Parâmetros_Azul'!$G$52*'3.Parâmetros_Azul'!$H$52*'5.Mira'!$F$12*'6.Cibernético'!$C$23*'6.Cibernético'!$D$24*'8.MotorCalc'!$L$40)</f>
        <v>0.33378586484920814</v>
      </c>
    </row>
    <row r="52" spans="1:12" x14ac:dyDescent="0.2">
      <c r="A52" s="68" t="s">
        <v>211</v>
      </c>
      <c r="B52" s="40" t="s">
        <v>91</v>
      </c>
      <c r="C52" s="69">
        <f>('7.Config'!$E$10*'3.Parâmetros_Azul'!$D$11*'3.Parâmetros_Azul'!$F$11*'3.Parâmetros_Azul'!$G$11*'3.Parâmetros_Azul'!$H$11*'5.Mira'!$G$6*'6.Cibernético'!$C$23*'6.Cibernético'!$D$24*'8.MotorCalc'!$C$34)+('7.Config'!$E$10*'3.Parâmetros_Azul'!$D$18*'3.Parâmetros_Azul'!$F$18*'3.Parâmetros_Azul'!$G$18*'3.Parâmetros_Azul'!$H$18*'5.Mira'!$G$7*'6.Cibernético'!$C$23*'6.Cibernético'!$D$24*'8.MotorCalc'!$C$35)+('7.Config'!$E$11*'3.Parâmetros_Azul'!$D$25*'3.Parâmetros_Azul'!$F$25*'3.Parâmetros_Azul'!$G$25*'3.Parâmetros_Azul'!$H$25*'5.Mira'!$G$8*'6.Cibernético'!$C$25*'6.Cibernético'!$D$24*'8.MotorCalc'!$C$36)+('7.Config'!$E$12*'3.Parâmetros_Azul'!$D$32*'3.Parâmetros_Azul'!$F$32*'3.Parâmetros_Azul'!$G$32*'3.Parâmetros_Azul'!$H$32*'5.Mira'!$G$9*'6.Cibernético'!$C$23*'6.Cibernético'!$D$24*'8.MotorCalc'!$C$37)+('7.Config'!$E$12*'3.Parâmetros_Azul'!$D$39*'3.Parâmetros_Azul'!$F$39*'3.Parâmetros_Azul'!$G$39*'3.Parâmetros_Azul'!$H$39*'5.Mira'!$G$10*'6.Cibernético'!$C$23*'6.Cibernético'!$D$24*'8.MotorCalc'!$C$38)+('7.Config'!$E$13*'3.Parâmetros_Azul'!$D$46*'3.Parâmetros_Azul'!$F$46*'3.Parâmetros_Azul'!$G$46*'3.Parâmetros_Azul'!$H$46*'5.Mira'!$G$11*'6.Cibernético'!$C$23*'6.Cibernético'!$D$24*'8.MotorCalc'!$C$39)+('7.Config'!$E$13*'3.Parâmetros_Azul'!$D$53*'3.Parâmetros_Azul'!$F$53*'3.Parâmetros_Azul'!$G$53*'3.Parâmetros_Azul'!$H$53*'5.Mira'!$G$12*'6.Cibernético'!$C$23*'6.Cibernético'!$D$24*'8.MotorCalc'!$C$40)</f>
        <v>0.34381778378592576</v>
      </c>
      <c r="D52" s="69">
        <f>('7.Config'!$E$10*'3.Parâmetros_Azul'!$D$11*'3.Parâmetros_Azul'!$F$11*'3.Parâmetros_Azul'!$G$11*'3.Parâmetros_Azul'!$H$11*'5.Mira'!$G$6*'6.Cibernético'!$C$23*'6.Cibernético'!$D$24*'8.MotorCalc'!$D$34)+('7.Config'!$E$10*'3.Parâmetros_Azul'!$D$18*'3.Parâmetros_Azul'!$F$18*'3.Parâmetros_Azul'!$G$18*'3.Parâmetros_Azul'!$H$18*'5.Mira'!$G$7*'6.Cibernético'!$C$23*'6.Cibernético'!$D$24*'8.MotorCalc'!$D$35)+('7.Config'!$E$11*'3.Parâmetros_Azul'!$D$25*'3.Parâmetros_Azul'!$F$25*'3.Parâmetros_Azul'!$G$25*'3.Parâmetros_Azul'!$H$25*'5.Mira'!$G$8*'6.Cibernético'!$C$25*'6.Cibernético'!$D$24*'8.MotorCalc'!$D$36)+('7.Config'!$E$12*'3.Parâmetros_Azul'!$D$32*'3.Parâmetros_Azul'!$F$32*'3.Parâmetros_Azul'!$G$32*'3.Parâmetros_Azul'!$H$32*'5.Mira'!$G$9*'6.Cibernético'!$C$23*'6.Cibernético'!$D$24*'8.MotorCalc'!$D$37)+('7.Config'!$E$12*'3.Parâmetros_Azul'!$D$39*'3.Parâmetros_Azul'!$F$39*'3.Parâmetros_Azul'!$G$39*'3.Parâmetros_Azul'!$H$39*'5.Mira'!$G$10*'6.Cibernético'!$C$23*'6.Cibernético'!$D$24*'8.MotorCalc'!$D$38)+('7.Config'!$E$13*'3.Parâmetros_Azul'!$D$46*'3.Parâmetros_Azul'!$F$46*'3.Parâmetros_Azul'!$G$46*'3.Parâmetros_Azul'!$H$46*'5.Mira'!$G$11*'6.Cibernético'!$C$23*'6.Cibernético'!$D$24*'8.MotorCalc'!$D$39)+('7.Config'!$E$13*'3.Parâmetros_Azul'!$D$53*'3.Parâmetros_Azul'!$F$53*'3.Parâmetros_Azul'!$G$53*'3.Parâmetros_Azul'!$H$53*'5.Mira'!$G$12*'6.Cibernético'!$C$23*'6.Cibernético'!$D$24*'8.MotorCalc'!$D$40)</f>
        <v>0.34270424069526062</v>
      </c>
      <c r="E52" s="69">
        <f>('7.Config'!$E$10*'3.Parâmetros_Azul'!$D$11*'3.Parâmetros_Azul'!$F$11*'3.Parâmetros_Azul'!$G$11*'3.Parâmetros_Azul'!$H$11*'5.Mira'!$G$6*'6.Cibernético'!$C$23*'6.Cibernético'!$D$24*'8.MotorCalc'!$E$34)+('7.Config'!$E$10*'3.Parâmetros_Azul'!$D$18*'3.Parâmetros_Azul'!$F$18*'3.Parâmetros_Azul'!$G$18*'3.Parâmetros_Azul'!$H$18*'5.Mira'!$G$7*'6.Cibernético'!$C$23*'6.Cibernético'!$D$24*'8.MotorCalc'!$E$35)+('7.Config'!$E$11*'3.Parâmetros_Azul'!$D$25*'3.Parâmetros_Azul'!$F$25*'3.Parâmetros_Azul'!$G$25*'3.Parâmetros_Azul'!$H$25*'5.Mira'!$G$8*'6.Cibernético'!$C$25*'6.Cibernético'!$D$24*'8.MotorCalc'!$E$36)+('7.Config'!$E$12*'3.Parâmetros_Azul'!$D$32*'3.Parâmetros_Azul'!$F$32*'3.Parâmetros_Azul'!$G$32*'3.Parâmetros_Azul'!$H$32*'5.Mira'!$G$9*'6.Cibernético'!$C$23*'6.Cibernético'!$D$24*'8.MotorCalc'!$E$37)+('7.Config'!$E$12*'3.Parâmetros_Azul'!$D$39*'3.Parâmetros_Azul'!$F$39*'3.Parâmetros_Azul'!$G$39*'3.Parâmetros_Azul'!$H$39*'5.Mira'!$G$10*'6.Cibernético'!$C$23*'6.Cibernético'!$D$24*'8.MotorCalc'!$E$38)+('7.Config'!$E$13*'3.Parâmetros_Azul'!$D$46*'3.Parâmetros_Azul'!$F$46*'3.Parâmetros_Azul'!$G$46*'3.Parâmetros_Azul'!$H$46*'5.Mira'!$G$11*'6.Cibernético'!$C$23*'6.Cibernético'!$D$24*'8.MotorCalc'!$E$39)+('7.Config'!$E$13*'3.Parâmetros_Azul'!$D$53*'3.Parâmetros_Azul'!$F$53*'3.Parâmetros_Azul'!$G$53*'3.Parâmetros_Azul'!$H$53*'5.Mira'!$G$12*'6.Cibernético'!$C$23*'6.Cibernético'!$D$24*'8.MotorCalc'!$E$40)</f>
        <v>0.34159067380851632</v>
      </c>
      <c r="F52" s="69">
        <f>('7.Config'!$E$10*'3.Parâmetros_Azul'!$D$11*'3.Parâmetros_Azul'!$F$11*'3.Parâmetros_Azul'!$G$11*'3.Parâmetros_Azul'!$H$11*'5.Mira'!$G$6*'6.Cibernético'!$C$23*'6.Cibernético'!$D$24*'8.MotorCalc'!$F$34)+('7.Config'!$E$10*'3.Parâmetros_Azul'!$D$18*'3.Parâmetros_Azul'!$F$18*'3.Parâmetros_Azul'!$G$18*'3.Parâmetros_Azul'!$H$18*'5.Mira'!$G$7*'6.Cibernético'!$C$23*'6.Cibernético'!$D$24*'8.MotorCalc'!$F$35)+('7.Config'!$E$11*'3.Parâmetros_Azul'!$D$25*'3.Parâmetros_Azul'!$F$25*'3.Parâmetros_Azul'!$G$25*'3.Parâmetros_Azul'!$H$25*'5.Mira'!$G$8*'6.Cibernético'!$C$25*'6.Cibernético'!$D$24*'8.MotorCalc'!$F$36)+('7.Config'!$E$12*'3.Parâmetros_Azul'!$D$32*'3.Parâmetros_Azul'!$F$32*'3.Parâmetros_Azul'!$G$32*'3.Parâmetros_Azul'!$H$32*'5.Mira'!$G$9*'6.Cibernético'!$C$23*'6.Cibernético'!$D$24*'8.MotorCalc'!$F$37)+('7.Config'!$E$12*'3.Parâmetros_Azul'!$D$39*'3.Parâmetros_Azul'!$F$39*'3.Parâmetros_Azul'!$G$39*'3.Parâmetros_Azul'!$H$39*'5.Mira'!$G$10*'6.Cibernético'!$C$23*'6.Cibernético'!$D$24*'8.MotorCalc'!$F$38)+('7.Config'!$E$13*'3.Parâmetros_Azul'!$D$46*'3.Parâmetros_Azul'!$F$46*'3.Parâmetros_Azul'!$G$46*'3.Parâmetros_Azul'!$H$46*'5.Mira'!$G$11*'6.Cibernético'!$C$23*'6.Cibernético'!$D$24*'8.MotorCalc'!$F$39)+('7.Config'!$E$13*'3.Parâmetros_Azul'!$D$53*'3.Parâmetros_Azul'!$F$53*'3.Parâmetros_Azul'!$G$53*'3.Parâmetros_Azul'!$H$53*'5.Mira'!$G$12*'6.Cibernético'!$C$23*'6.Cibernético'!$D$24*'8.MotorCalc'!$F$40)</f>
        <v>0.34047707027392149</v>
      </c>
      <c r="G52" s="69">
        <f>('7.Config'!$E$10*'3.Parâmetros_Azul'!$D$11*'3.Parâmetros_Azul'!$F$11*'3.Parâmetros_Azul'!$G$11*'3.Parâmetros_Azul'!$H$11*'5.Mira'!$G$6*'6.Cibernético'!$C$23*'6.Cibernético'!$D$24*'8.MotorCalc'!$G$34)+('7.Config'!$E$10*'3.Parâmetros_Azul'!$D$18*'3.Parâmetros_Azul'!$F$18*'3.Parâmetros_Azul'!$G$18*'3.Parâmetros_Azul'!$H$18*'5.Mira'!$G$7*'6.Cibernético'!$C$23*'6.Cibernético'!$D$24*'8.MotorCalc'!$G$35)+('7.Config'!$E$11*'3.Parâmetros_Azul'!$D$25*'3.Parâmetros_Azul'!$F$25*'3.Parâmetros_Azul'!$G$25*'3.Parâmetros_Azul'!$H$25*'5.Mira'!$G$8*'6.Cibernético'!$C$25*'6.Cibernético'!$D$24*'8.MotorCalc'!$G$36)+('7.Config'!$E$12*'3.Parâmetros_Azul'!$D$32*'3.Parâmetros_Azul'!$F$32*'3.Parâmetros_Azul'!$G$32*'3.Parâmetros_Azul'!$H$32*'5.Mira'!$G$9*'6.Cibernético'!$C$23*'6.Cibernético'!$D$24*'8.MotorCalc'!$G$37)+('7.Config'!$E$12*'3.Parâmetros_Azul'!$D$39*'3.Parâmetros_Azul'!$F$39*'3.Parâmetros_Azul'!$G$39*'3.Parâmetros_Azul'!$H$39*'5.Mira'!$G$10*'6.Cibernético'!$C$23*'6.Cibernético'!$D$24*'8.MotorCalc'!$G$38)+('7.Config'!$E$13*'3.Parâmetros_Azul'!$D$46*'3.Parâmetros_Azul'!$F$46*'3.Parâmetros_Azul'!$G$46*'3.Parâmetros_Azul'!$H$46*'5.Mira'!$G$11*'6.Cibernético'!$C$23*'6.Cibernético'!$D$24*'8.MotorCalc'!$G$39)+('7.Config'!$E$13*'3.Parâmetros_Azul'!$D$53*'3.Parâmetros_Azul'!$F$53*'3.Parâmetros_Azul'!$G$53*'3.Parâmetros_Azul'!$H$53*'5.Mira'!$G$12*'6.Cibernético'!$C$23*'6.Cibernético'!$D$24*'8.MotorCalc'!$G$40)</f>
        <v>0.33936292375181154</v>
      </c>
      <c r="H52" s="69">
        <f>('7.Config'!$E$10*'3.Parâmetros_Azul'!$D$11*'3.Parâmetros_Azul'!$F$11*'3.Parâmetros_Azul'!$G$11*'3.Parâmetros_Azul'!$H$11*'5.Mira'!$G$6*'6.Cibernético'!$C$23*'6.Cibernético'!$D$24*'8.MotorCalc'!$H$34)+('7.Config'!$E$10*'3.Parâmetros_Azul'!$D$18*'3.Parâmetros_Azul'!$F$18*'3.Parâmetros_Azul'!$G$18*'3.Parâmetros_Azul'!$H$18*'5.Mira'!$G$7*'6.Cibernético'!$C$23*'6.Cibernético'!$D$24*'8.MotorCalc'!$H$35)+('7.Config'!$E$11*'3.Parâmetros_Azul'!$D$25*'3.Parâmetros_Azul'!$F$25*'3.Parâmetros_Azul'!$G$25*'3.Parâmetros_Azul'!$H$25*'5.Mira'!$G$8*'6.Cibernético'!$C$25*'6.Cibernético'!$D$24*'8.MotorCalc'!$H$36)+('7.Config'!$E$12*'3.Parâmetros_Azul'!$D$32*'3.Parâmetros_Azul'!$F$32*'3.Parâmetros_Azul'!$G$32*'3.Parâmetros_Azul'!$H$32*'5.Mira'!$G$9*'6.Cibernético'!$C$23*'6.Cibernético'!$D$24*'8.MotorCalc'!$H$37)+('7.Config'!$E$12*'3.Parâmetros_Azul'!$D$39*'3.Parâmetros_Azul'!$F$39*'3.Parâmetros_Azul'!$G$39*'3.Parâmetros_Azul'!$H$39*'5.Mira'!$G$10*'6.Cibernético'!$C$23*'6.Cibernético'!$D$24*'8.MotorCalc'!$H$38)+('7.Config'!$E$13*'3.Parâmetros_Azul'!$D$46*'3.Parâmetros_Azul'!$F$46*'3.Parâmetros_Azul'!$G$46*'3.Parâmetros_Azul'!$H$46*'5.Mira'!$G$11*'6.Cibernético'!$C$23*'6.Cibernético'!$D$24*'8.MotorCalc'!$H$39)+('7.Config'!$E$13*'3.Parâmetros_Azul'!$D$53*'3.Parâmetros_Azul'!$F$53*'3.Parâmetros_Azul'!$G$53*'3.Parâmetros_Azul'!$H$53*'5.Mira'!$G$12*'6.Cibernético'!$C$23*'6.Cibernético'!$D$24*'8.MotorCalc'!$H$40)</f>
        <v>0.33824828510941796</v>
      </c>
      <c r="I52" s="69">
        <f>('7.Config'!$E$10*'3.Parâmetros_Azul'!$D$11*'3.Parâmetros_Azul'!$F$11*'3.Parâmetros_Azul'!$G$11*'3.Parâmetros_Azul'!$H$11*'5.Mira'!$G$6*'6.Cibernético'!$C$23*'6.Cibernético'!$D$24*'8.MotorCalc'!$I$34)+('7.Config'!$E$10*'3.Parâmetros_Azul'!$D$18*'3.Parâmetros_Azul'!$F$18*'3.Parâmetros_Azul'!$G$18*'3.Parâmetros_Azul'!$H$18*'5.Mira'!$G$7*'6.Cibernético'!$C$23*'6.Cibernético'!$D$24*'8.MotorCalc'!$I$35)+('7.Config'!$E$11*'3.Parâmetros_Azul'!$D$25*'3.Parâmetros_Azul'!$F$25*'3.Parâmetros_Azul'!$G$25*'3.Parâmetros_Azul'!$H$25*'5.Mira'!$G$8*'6.Cibernético'!$C$25*'6.Cibernético'!$D$24*'8.MotorCalc'!$I$36)+('7.Config'!$E$12*'3.Parâmetros_Azul'!$D$32*'3.Parâmetros_Azul'!$F$32*'3.Parâmetros_Azul'!$G$32*'3.Parâmetros_Azul'!$H$32*'5.Mira'!$G$9*'6.Cibernético'!$C$23*'6.Cibernético'!$D$24*'8.MotorCalc'!$I$37)+('7.Config'!$E$12*'3.Parâmetros_Azul'!$D$39*'3.Parâmetros_Azul'!$F$39*'3.Parâmetros_Azul'!$G$39*'3.Parâmetros_Azul'!$H$39*'5.Mira'!$G$10*'6.Cibernético'!$C$23*'6.Cibernético'!$D$24*'8.MotorCalc'!$I$38)+('7.Config'!$E$13*'3.Parâmetros_Azul'!$D$46*'3.Parâmetros_Azul'!$F$46*'3.Parâmetros_Azul'!$G$46*'3.Parâmetros_Azul'!$H$46*'5.Mira'!$G$11*'6.Cibernético'!$C$23*'6.Cibernético'!$D$24*'8.MotorCalc'!$I$39)+('7.Config'!$E$13*'3.Parâmetros_Azul'!$D$53*'3.Parâmetros_Azul'!$F$53*'3.Parâmetros_Azul'!$G$53*'3.Parâmetros_Azul'!$H$53*'5.Mira'!$G$12*'6.Cibernético'!$C$23*'6.Cibernético'!$D$24*'8.MotorCalc'!$I$40)</f>
        <v>0.33713320629346522</v>
      </c>
      <c r="J52" s="69">
        <f>('7.Config'!$E$10*'3.Parâmetros_Azul'!$D$11*'3.Parâmetros_Azul'!$F$11*'3.Parâmetros_Azul'!$G$11*'3.Parâmetros_Azul'!$H$11*'5.Mira'!$G$6*'6.Cibernético'!$C$23*'6.Cibernético'!$D$24*'8.MotorCalc'!$J$34)+('7.Config'!$E$10*'3.Parâmetros_Azul'!$D$18*'3.Parâmetros_Azul'!$F$18*'3.Parâmetros_Azul'!$G$18*'3.Parâmetros_Azul'!$H$18*'5.Mira'!$G$7*'6.Cibernético'!$C$23*'6.Cibernético'!$D$24*'8.MotorCalc'!$J$35)+('7.Config'!$E$11*'3.Parâmetros_Azul'!$D$25*'3.Parâmetros_Azul'!$F$25*'3.Parâmetros_Azul'!$G$25*'3.Parâmetros_Azul'!$H$25*'5.Mira'!$G$8*'6.Cibernético'!$C$25*'6.Cibernético'!$D$24*'8.MotorCalc'!$J$36)+('7.Config'!$E$12*'3.Parâmetros_Azul'!$D$32*'3.Parâmetros_Azul'!$F$32*'3.Parâmetros_Azul'!$G$32*'3.Parâmetros_Azul'!$H$32*'5.Mira'!$G$9*'6.Cibernético'!$C$23*'6.Cibernético'!$D$24*'8.MotorCalc'!$J$37)+('7.Config'!$E$12*'3.Parâmetros_Azul'!$D$39*'3.Parâmetros_Azul'!$F$39*'3.Parâmetros_Azul'!$G$39*'3.Parâmetros_Azul'!$H$39*'5.Mira'!$G$10*'6.Cibernético'!$C$23*'6.Cibernético'!$D$24*'8.MotorCalc'!$J$38)+('7.Config'!$E$13*'3.Parâmetros_Azul'!$D$46*'3.Parâmetros_Azul'!$F$46*'3.Parâmetros_Azul'!$G$46*'3.Parâmetros_Azul'!$H$46*'5.Mira'!$G$11*'6.Cibernético'!$C$23*'6.Cibernético'!$D$24*'8.MotorCalc'!$J$39)+('7.Config'!$E$13*'3.Parâmetros_Azul'!$D$53*'3.Parâmetros_Azul'!$F$53*'3.Parâmetros_Azul'!$G$53*'3.Parâmetros_Azul'!$H$53*'5.Mira'!$G$12*'6.Cibernético'!$C$23*'6.Cibernético'!$D$24*'8.MotorCalc'!$J$40)</f>
        <v>0.33601774034842236</v>
      </c>
      <c r="K52" s="69">
        <f>('7.Config'!$E$10*'3.Parâmetros_Azul'!$D$11*'3.Parâmetros_Azul'!$F$11*'3.Parâmetros_Azul'!$G$11*'3.Parâmetros_Azul'!$H$11*'5.Mira'!$G$6*'6.Cibernético'!$C$23*'6.Cibernético'!$D$24*'8.MotorCalc'!$K$34)+('7.Config'!$E$10*'3.Parâmetros_Azul'!$D$18*'3.Parâmetros_Azul'!$F$18*'3.Parâmetros_Azul'!$G$18*'3.Parâmetros_Azul'!$H$18*'5.Mira'!$G$7*'6.Cibernético'!$C$23*'6.Cibernético'!$D$24*'8.MotorCalc'!$K$35)+('7.Config'!$E$11*'3.Parâmetros_Azul'!$D$25*'3.Parâmetros_Azul'!$F$25*'3.Parâmetros_Azul'!$G$25*'3.Parâmetros_Azul'!$H$25*'5.Mira'!$G$8*'6.Cibernético'!$C$25*'6.Cibernético'!$D$24*'8.MotorCalc'!$K$36)+('7.Config'!$E$12*'3.Parâmetros_Azul'!$D$32*'3.Parâmetros_Azul'!$F$32*'3.Parâmetros_Azul'!$G$32*'3.Parâmetros_Azul'!$H$32*'5.Mira'!$G$9*'6.Cibernético'!$C$23*'6.Cibernético'!$D$24*'8.MotorCalc'!$K$37)+('7.Config'!$E$12*'3.Parâmetros_Azul'!$D$39*'3.Parâmetros_Azul'!$F$39*'3.Parâmetros_Azul'!$G$39*'3.Parâmetros_Azul'!$H$39*'5.Mira'!$G$10*'6.Cibernético'!$C$23*'6.Cibernético'!$D$24*'8.MotorCalc'!$K$38)+('7.Config'!$E$13*'3.Parâmetros_Azul'!$D$46*'3.Parâmetros_Azul'!$F$46*'3.Parâmetros_Azul'!$G$46*'3.Parâmetros_Azul'!$H$46*'5.Mira'!$G$11*'6.Cibernético'!$C$23*'6.Cibernético'!$D$24*'8.MotorCalc'!$K$39)+('7.Config'!$E$13*'3.Parâmetros_Azul'!$D$53*'3.Parâmetros_Azul'!$F$53*'3.Parâmetros_Azul'!$G$53*'3.Parâmetros_Azul'!$H$53*'5.Mira'!$G$12*'6.Cibernético'!$C$23*'6.Cibernético'!$D$24*'8.MotorCalc'!$K$40)</f>
        <v>0.3349019414350442</v>
      </c>
      <c r="L52" s="69">
        <f>('7.Config'!$E$10*'3.Parâmetros_Azul'!$D$11*'3.Parâmetros_Azul'!$F$11*'3.Parâmetros_Azul'!$G$11*'3.Parâmetros_Azul'!$H$11*'5.Mira'!$G$6*'6.Cibernético'!$C$23*'6.Cibernético'!$D$24*'8.MotorCalc'!$L$34)+('7.Config'!$E$10*'3.Parâmetros_Azul'!$D$18*'3.Parâmetros_Azul'!$F$18*'3.Parâmetros_Azul'!$G$18*'3.Parâmetros_Azul'!$H$18*'5.Mira'!$G$7*'6.Cibernético'!$C$23*'6.Cibernético'!$D$24*'8.MotorCalc'!$L$35)+('7.Config'!$E$11*'3.Parâmetros_Azul'!$D$25*'3.Parâmetros_Azul'!$F$25*'3.Parâmetros_Azul'!$G$25*'3.Parâmetros_Azul'!$H$25*'5.Mira'!$G$8*'6.Cibernético'!$C$25*'6.Cibernético'!$D$24*'8.MotorCalc'!$L$36)+('7.Config'!$E$12*'3.Parâmetros_Azul'!$D$32*'3.Parâmetros_Azul'!$F$32*'3.Parâmetros_Azul'!$G$32*'3.Parâmetros_Azul'!$H$32*'5.Mira'!$G$9*'6.Cibernético'!$C$23*'6.Cibernético'!$D$24*'8.MotorCalc'!$L$37)+('7.Config'!$E$12*'3.Parâmetros_Azul'!$D$39*'3.Parâmetros_Azul'!$F$39*'3.Parâmetros_Azul'!$G$39*'3.Parâmetros_Azul'!$H$39*'5.Mira'!$G$10*'6.Cibernético'!$C$23*'6.Cibernético'!$D$24*'8.MotorCalc'!$L$38)+('7.Config'!$E$13*'3.Parâmetros_Azul'!$D$46*'3.Parâmetros_Azul'!$F$46*'3.Parâmetros_Azul'!$G$46*'3.Parâmetros_Azul'!$H$46*'5.Mira'!$G$11*'6.Cibernético'!$C$23*'6.Cibernético'!$D$24*'8.MotorCalc'!$L$39)+('7.Config'!$E$13*'3.Parâmetros_Azul'!$D$53*'3.Parâmetros_Azul'!$F$53*'3.Parâmetros_Azul'!$G$53*'3.Parâmetros_Azul'!$H$53*'5.Mira'!$G$12*'6.Cibernético'!$C$23*'6.Cibernético'!$D$24*'8.MotorCalc'!$L$40)</f>
        <v>0.33378586484920814</v>
      </c>
    </row>
  </sheetData>
  <sheetProtection sheet="1" objects="1" scenarios="1"/>
  <mergeCells count="2">
    <mergeCell ref="A1:F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17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7.93359375" style="15" customWidth="1"/>
    <col min="3" max="9" width="11.97265625" style="15" customWidth="1"/>
    <col min="10" max="10" width="2.015625" style="15" customWidth="1"/>
    <col min="11" max="15" width="11.97265625" style="15" customWidth="1"/>
    <col min="16" max="17" width="11.02734375" style="15" customWidth="1"/>
    <col min="18" max="18" width="29.99609375" style="15" customWidth="1"/>
  </cols>
  <sheetData>
    <row r="2" spans="2:18" ht="19.5" customHeight="1" x14ac:dyDescent="0.2">
      <c r="B2" s="6" t="s">
        <v>212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ht="24" customHeight="1" x14ac:dyDescent="0.2">
      <c r="B3" s="97" t="s">
        <v>213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</row>
    <row r="5" spans="2:18" ht="19.5" customHeight="1" x14ac:dyDescent="0.2">
      <c r="C5" s="100" t="s">
        <v>214</v>
      </c>
      <c r="D5" s="100"/>
      <c r="E5" s="100"/>
      <c r="F5" s="100"/>
      <c r="G5" s="100"/>
      <c r="H5" s="100"/>
      <c r="I5" s="100"/>
      <c r="K5" s="101" t="s">
        <v>215</v>
      </c>
      <c r="L5" s="101"/>
      <c r="M5" s="101"/>
      <c r="N5" s="101"/>
      <c r="O5" s="101"/>
    </row>
    <row r="6" spans="2:18" ht="31.5" customHeight="1" x14ac:dyDescent="0.2">
      <c r="B6" s="32" t="s">
        <v>216</v>
      </c>
      <c r="C6" s="45" t="s">
        <v>139</v>
      </c>
      <c r="D6" s="45" t="s">
        <v>140</v>
      </c>
      <c r="E6" s="49" t="s">
        <v>141</v>
      </c>
      <c r="F6" s="46" t="s">
        <v>88</v>
      </c>
      <c r="G6" s="46" t="s">
        <v>90</v>
      </c>
      <c r="H6" s="50" t="s">
        <v>92</v>
      </c>
      <c r="I6" s="50" t="s">
        <v>142</v>
      </c>
      <c r="K6" s="45" t="s">
        <v>134</v>
      </c>
      <c r="L6" s="45" t="s">
        <v>83</v>
      </c>
      <c r="M6" s="46" t="s">
        <v>135</v>
      </c>
      <c r="N6" s="46" t="s">
        <v>136</v>
      </c>
      <c r="O6" s="46" t="s">
        <v>91</v>
      </c>
      <c r="P6" s="70" t="s">
        <v>217</v>
      </c>
      <c r="Q6" s="71" t="s">
        <v>218</v>
      </c>
      <c r="R6" s="32" t="s">
        <v>219</v>
      </c>
    </row>
    <row r="7" spans="2:18" x14ac:dyDescent="0.2">
      <c r="B7" s="72">
        <v>0</v>
      </c>
      <c r="C7" s="73">
        <f>'2.Forças'!$D$6</f>
        <v>2</v>
      </c>
      <c r="D7" s="73">
        <f>'2.Forças'!$D$7</f>
        <v>2</v>
      </c>
      <c r="E7" s="73">
        <f>'2.Forças'!$D$8</f>
        <v>1</v>
      </c>
      <c r="F7" s="73">
        <f>'2.Forças'!$D$9</f>
        <v>3</v>
      </c>
      <c r="G7" s="73">
        <f>'2.Forças'!$D$10</f>
        <v>2</v>
      </c>
      <c r="H7" s="73">
        <f>'2.Forças'!$D$11</f>
        <v>6</v>
      </c>
      <c r="I7" s="73">
        <f>'2.Forças'!$D$12</f>
        <v>2</v>
      </c>
      <c r="K7" s="74">
        <f>'2.Forças'!$H$6</f>
        <v>2</v>
      </c>
      <c r="L7" s="74">
        <f>'2.Forças'!$H$7</f>
        <v>2</v>
      </c>
      <c r="M7" s="74">
        <f>'2.Forças'!$H$8</f>
        <v>6</v>
      </c>
      <c r="N7" s="74">
        <f>'2.Forças'!$H$9</f>
        <v>3</v>
      </c>
      <c r="O7" s="74">
        <f>'2.Forças'!$H$10</f>
        <v>2</v>
      </c>
      <c r="P7" s="75">
        <f>C7+D7+E7+F7+G7+H7+I7</f>
        <v>18</v>
      </c>
      <c r="Q7" s="76">
        <f>K7+L7+M7+N7+O7</f>
        <v>15</v>
      </c>
      <c r="R7" s="77" t="s">
        <v>220</v>
      </c>
    </row>
    <row r="8" spans="2:18" ht="15.75" customHeight="1" x14ac:dyDescent="0.2">
      <c r="B8" s="78">
        <v>1</v>
      </c>
      <c r="C8" s="79">
        <f>IF('7.Config'!$C5="Simultâneo",MAX(0,C7-MAX(0,'8.MotorCalc'!$C$5-'8.MotorCalc'!$C$12)/MAX(0.001,'3.Parâmetros_Azul'!$J$7*'7.Config'!$C$18)),IF('7.Config'!$C5="Azul ataca primeiro",MAX(0,C7-MAX(0,'8.MotorCalc'!$C$41-'8.MotorCalc'!$C$12)/MAX(0.001,'3.Parâmetros_Azul'!$J$7*'7.Config'!$C$18)),'8.MotorCalc'!$C$34))</f>
        <v>1.9850518068793628</v>
      </c>
      <c r="D8" s="79">
        <f>IF('7.Config'!$C5="Simultâneo",MAX(0,D7-MAX(0,'8.MotorCalc'!$C$6-'8.MotorCalc'!$C$13)/MAX(0.001,'3.Parâmetros_Azul'!$J$14*'7.Config'!$C$18)),IF('7.Config'!$C5="Azul ataca primeiro",MAX(0,D7-MAX(0,'8.MotorCalc'!$C$42-'8.MotorCalc'!$C$13)/MAX(0.001,'3.Parâmetros_Azul'!$J$14*'7.Config'!$C$18)),'8.MotorCalc'!$C$35))</f>
        <v>1.9850518068793628</v>
      </c>
      <c r="E8" s="79">
        <f>IF('7.Config'!$C5="Simultâneo",MAX(0,E7-MAX(0,'8.MotorCalc'!$C$7-'8.MotorCalc'!$C$14)/MAX(0.001,'3.Parâmetros_Azul'!$J$21*'7.Config'!$C$20)),IF('7.Config'!$C5="Azul ataca primeiro",MAX(0,E7-MAX(0,'8.MotorCalc'!$C$43-'8.MotorCalc'!$C$14)/MAX(0.001,'3.Parâmetros_Azul'!$J$21*'7.Config'!$C$20)),'8.MotorCalc'!$C$36))</f>
        <v>0.99933883333333329</v>
      </c>
      <c r="F8" s="79">
        <f>IF('7.Config'!$C5="Simultâneo",MAX(0,F7-MAX(0,'8.MotorCalc'!$C$8-'8.MotorCalc'!$C$15)/MAX(0.001,'3.Parâmetros_Azul'!$J$28*'7.Config'!$C$17)),IF('7.Config'!$C5="Azul ataca primeiro",MAX(0,F7-MAX(0,'8.MotorCalc'!$C$44-'8.MotorCalc'!$C$15)/MAX(0.001,'3.Parâmetros_Azul'!$J$28*'7.Config'!$C$17)),'8.MotorCalc'!$C$37))</f>
        <v>3</v>
      </c>
      <c r="G8" s="79">
        <f>IF('7.Config'!$C5="Simultâneo",MAX(0,G7-MAX(0,'8.MotorCalc'!$C$9-'8.MotorCalc'!$C$16)/MAX(0.001,'3.Parâmetros_Azul'!$J$35*'7.Config'!$C$17)),IF('7.Config'!$C5="Azul ataca primeiro",MAX(0,G7-MAX(0,'8.MotorCalc'!$C$45-'8.MotorCalc'!$C$16)/MAX(0.001,'3.Parâmetros_Azul'!$J$35*'7.Config'!$C$17)),'8.MotorCalc'!$C$38))</f>
        <v>2</v>
      </c>
      <c r="H8" s="79">
        <f>IF('7.Config'!$C5="Simultâneo",MAX(0,H7-MAX(0,'8.MotorCalc'!$C$10-'8.MotorCalc'!$C$17)/MAX(0.001,'3.Parâmetros_Azul'!$J$42*'7.Config'!$C$19)),IF('7.Config'!$C5="Azul ataca primeiro",MAX(0,H7-MAX(0,'8.MotorCalc'!$C$46-'8.MotorCalc'!$C$17)/MAX(0.001,'3.Parâmetros_Azul'!$J$42*'7.Config'!$C$19)),'8.MotorCalc'!$C$39))</f>
        <v>5.9998429946717655</v>
      </c>
      <c r="I8" s="79">
        <f>IF('7.Config'!$C5="Simultâneo",MAX(0,I7-MAX(0,'8.MotorCalc'!$C$11-'8.MotorCalc'!$C$18)/MAX(0.001,'3.Parâmetros_Azul'!$J$49*'7.Config'!$C$19)),IF('7.Config'!$C5="Azul ataca primeiro",MAX(0,I7-MAX(0,'8.MotorCalc'!$C$47-'8.MotorCalc'!$C$18)/MAX(0.001,'3.Parâmetros_Azul'!$J$49*'7.Config'!$C$19)),'8.MotorCalc'!$C$40))</f>
        <v>1.990264748223922</v>
      </c>
      <c r="K8" s="80">
        <f>IF('7.Config'!$C5="Simultâneo",MAX(0,K7-MAX(0,'8.MotorCalc'!$C$19-'8.MotorCalc'!$C$24)/MAX(0.001,'4.Parâmetros_Verm'!$J$7*'7.Config'!$C$18)),IF('7.Config'!$C5="Azul ataca primeiro",'8.MotorCalc'!$C$29,MAX(0,K7-MAX(0,'8.MotorCalc'!$C$48-'8.MotorCalc'!$C$24)/MAX(0.001,'4.Parâmetros_Verm'!$J$7*'7.Config'!$C$18))))</f>
        <v>1.9763859603120824</v>
      </c>
      <c r="L8" s="80">
        <f>IF('7.Config'!$C5="Simultâneo",MAX(0,L7-MAX(0,'8.MotorCalc'!$C$20-'8.MotorCalc'!$C$25)/MAX(0.001,'4.Parâmetros_Verm'!$J$16*'7.Config'!$C$18)),IF('7.Config'!$C5="Azul ataca primeiro",'8.MotorCalc'!$C$30,MAX(0,L7-MAX(0,'8.MotorCalc'!$C$49-'8.MotorCalc'!$C$25)/MAX(0.001,'4.Parâmetros_Verm'!$J$16*'7.Config'!$C$18))))</f>
        <v>1.9763859603120824</v>
      </c>
      <c r="M8" s="80">
        <f>IF('7.Config'!$C5="Simultâneo",MAX(0,M7-MAX(0,'8.MotorCalc'!$C$21-'8.MotorCalc'!$C$26)/MAX(0.001,'4.Parâmetros_Verm'!$J$25*'7.Config'!$C$17)),IF('7.Config'!$C5="Azul ataca primeiro",'8.MotorCalc'!$C$31,MAX(0,M7-MAX(0,'8.MotorCalc'!$C$50-'8.MotorCalc'!$C$26)/MAX(0.001,'4.Parâmetros_Verm'!$J$25*'7.Config'!$C$17))))</f>
        <v>6</v>
      </c>
      <c r="N8" s="80">
        <f>IF('7.Config'!$C5="Simultâneo",MAX(0,N7-MAX(0,'8.MotorCalc'!$C$22-'8.MotorCalc'!$C$27)/MAX(0.001,'4.Parâmetros_Verm'!$J$34*'7.Config'!$C$17)),IF('7.Config'!$C5="Azul ataca primeiro",'8.MotorCalc'!$C$32,MAX(0,N7-MAX(0,'8.MotorCalc'!$C$51-'8.MotorCalc'!$C$27)/MAX(0.001,'4.Parâmetros_Verm'!$J$34*'7.Config'!$C$17))))</f>
        <v>3</v>
      </c>
      <c r="O8" s="80">
        <f>IF('7.Config'!$C5="Simultâneo",MAX(0,O7-MAX(0,'8.MotorCalc'!$C$23-'8.MotorCalc'!$C$28)/MAX(0.001,'4.Parâmetros_Verm'!$J$43*'7.Config'!$C$17)),IF('7.Config'!$C5="Azul ataca primeiro",'8.MotorCalc'!$C$33,MAX(0,O7-MAX(0,'8.MotorCalc'!$C$52-'8.MotorCalc'!$C$28)/MAX(0.001,'4.Parâmetros_Verm'!$J$43*'7.Config'!$C$17))))</f>
        <v>2</v>
      </c>
      <c r="P8" s="75">
        <f>C8+D8+E8+F8+G8+H8+I8</f>
        <v>17.959550189987745</v>
      </c>
      <c r="Q8" s="76">
        <f>K8+L8+M8+N8+O8</f>
        <v>14.952771920624166</v>
      </c>
      <c r="R8" s="81" t="str">
        <f>IF(AND((C8+D8+E8)&lt;0.5,(K8+L8)&lt;0.5),"DESTRUIÇÃO NAVAL MÚTUA",IF((C8+D8+E8)&lt;0.5,"DERROTA AZUL",IF((K8+L8)&lt;0.5,"VITÓRIA AZUL","EM CURSO")))&amp;" ["&amp;'7.Config'!$C5&amp;"]"</f>
        <v>EM CURSO [Simultâneo]</v>
      </c>
    </row>
    <row r="9" spans="2:18" ht="15.75" customHeight="1" x14ac:dyDescent="0.2">
      <c r="B9" s="78">
        <v>2</v>
      </c>
      <c r="C9" s="79">
        <f>IF('7.Config'!$C5="Simultâneo",MAX(0,C8-MAX(0,'8.MotorCalc'!$D$5-'8.MotorCalc'!$D$12)/MAX(0.001,'3.Parâmetros_Azul'!$J$7*'7.Config'!$C$18)),IF('7.Config'!$C5="Azul ataca primeiro",MAX(0,C8-MAX(0,'8.MotorCalc'!$D$41-'8.MotorCalc'!$D$12)/MAX(0.001,'3.Parâmetros_Azul'!$J$7*'7.Config'!$C$18)),'8.MotorCalc'!$D$34))</f>
        <v>1.9700880152107867</v>
      </c>
      <c r="D9" s="79">
        <f>IF('7.Config'!$C5="Simultâneo",MAX(0,D8-MAX(0,'8.MotorCalc'!$D$6-'8.MotorCalc'!$D$13)/MAX(0.001,'3.Parâmetros_Azul'!$J$14*'7.Config'!$C$18)),IF('7.Config'!$C5="Azul ataca primeiro",MAX(0,D8-MAX(0,'8.MotorCalc'!$D$42-'8.MotorCalc'!$D$13)/MAX(0.001,'3.Parâmetros_Azul'!$J$14*'7.Config'!$C$18)),'8.MotorCalc'!$D$35))</f>
        <v>1.9700880152107867</v>
      </c>
      <c r="E9" s="79">
        <f>IF('7.Config'!$C5="Simultâneo",MAX(0,E8-MAX(0,'8.MotorCalc'!$D$7-'8.MotorCalc'!$D$14)/MAX(0.001,'3.Parâmetros_Azul'!$J$21*'7.Config'!$C$20)),IF('7.Config'!$C5="Azul ataca primeiro",MAX(0,E8-MAX(0,'8.MotorCalc'!$D$43-'8.MotorCalc'!$D$14)/MAX(0.001,'3.Parâmetros_Azul'!$J$21*'7.Config'!$C$20)),'8.MotorCalc'!$D$36))</f>
        <v>0.9986848654278212</v>
      </c>
      <c r="F9" s="79">
        <f>IF('7.Config'!$C5="Simultâneo",MAX(0,F8-MAX(0,'8.MotorCalc'!$D$8-'8.MotorCalc'!$D$15)/MAX(0.001,'3.Parâmetros_Azul'!$J$28*'7.Config'!$C$17)),IF('7.Config'!$C5="Azul ataca primeiro",MAX(0,F8-MAX(0,'8.MotorCalc'!$D$44-'8.MotorCalc'!$D$15)/MAX(0.001,'3.Parâmetros_Azul'!$J$28*'7.Config'!$C$17)),'8.MotorCalc'!$D$37))</f>
        <v>3</v>
      </c>
      <c r="G9" s="79">
        <f>IF('7.Config'!$C5="Simultâneo",MAX(0,G8-MAX(0,'8.MotorCalc'!$D$9-'8.MotorCalc'!$D$16)/MAX(0.001,'3.Parâmetros_Azul'!$J$35*'7.Config'!$C$17)),IF('7.Config'!$C5="Azul ataca primeiro",MAX(0,G8-MAX(0,'8.MotorCalc'!$D$45-'8.MotorCalc'!$D$16)/MAX(0.001,'3.Parâmetros_Azul'!$J$35*'7.Config'!$C$17)),'8.MotorCalc'!$D$38))</f>
        <v>2</v>
      </c>
      <c r="H9" s="79">
        <f>IF('7.Config'!$C5="Simultâneo",MAX(0,H8-MAX(0,'8.MotorCalc'!$D$10-'8.MotorCalc'!$D$17)/MAX(0.001,'3.Parâmetros_Azul'!$J$42*'7.Config'!$C$19)),IF('7.Config'!$C5="Azul ataca primeiro",MAX(0,H8-MAX(0,'8.MotorCalc'!$D$46-'8.MotorCalc'!$D$17)/MAX(0.001,'3.Parâmetros_Azul'!$J$42*'7.Config'!$C$19)),'8.MotorCalc'!$D$39))</f>
        <v>5.9997398076056836</v>
      </c>
      <c r="I9" s="79">
        <f>IF('7.Config'!$C5="Simultâneo",MAX(0,I8-MAX(0,'8.MotorCalc'!$D$11-'8.MotorCalc'!$D$18)/MAX(0.001,'3.Parâmetros_Azul'!$J$49*'7.Config'!$C$19)),IF('7.Config'!$C5="Azul ataca primeiro",MAX(0,I8-MAX(0,'8.MotorCalc'!$D$47-'8.MotorCalc'!$D$18)/MAX(0.001,'3.Parâmetros_Azul'!$J$49*'7.Config'!$C$19)),'8.MotorCalc'!$D$40))</f>
        <v>1.980560379008742</v>
      </c>
      <c r="K9" s="80">
        <f>IF('7.Config'!$C5="Simultâneo",MAX(0,K8-MAX(0,'8.MotorCalc'!$D$19-'8.MotorCalc'!$D$24)/MAX(0.001,'4.Parâmetros_Verm'!$J$7*'7.Config'!$C$18)),IF('7.Config'!$C5="Azul ataca primeiro",'8.MotorCalc'!$D$29,MAX(0,K8-MAX(0,'8.MotorCalc'!$D$48-'8.MotorCalc'!$D$24)/MAX(0.001,'4.Parâmetros_Verm'!$J$7*'7.Config'!$C$18))))</f>
        <v>1.9526188542627201</v>
      </c>
      <c r="L9" s="80">
        <f>IF('7.Config'!$C5="Simultâneo",MAX(0,L8-MAX(0,'8.MotorCalc'!$D$20-'8.MotorCalc'!$D$25)/MAX(0.001,'4.Parâmetros_Verm'!$J$16*'7.Config'!$C$18)),IF('7.Config'!$C5="Azul ataca primeiro",'8.MotorCalc'!$D$30,MAX(0,L8-MAX(0,'8.MotorCalc'!$D$49-'8.MotorCalc'!$D$25)/MAX(0.001,'4.Parâmetros_Verm'!$J$16*'7.Config'!$C$18))))</f>
        <v>1.9526188542627201</v>
      </c>
      <c r="M9" s="80">
        <f>IF('7.Config'!$C5="Simultâneo",MAX(0,M8-MAX(0,'8.MotorCalc'!$D$21-'8.MotorCalc'!$D$26)/MAX(0.001,'4.Parâmetros_Verm'!$J$25*'7.Config'!$C$17)),IF('7.Config'!$C5="Azul ataca primeiro",'8.MotorCalc'!$D$31,MAX(0,M8-MAX(0,'8.MotorCalc'!$D$50-'8.MotorCalc'!$D$26)/MAX(0.001,'4.Parâmetros_Verm'!$J$25*'7.Config'!$C$17))))</f>
        <v>6</v>
      </c>
      <c r="N9" s="80">
        <f>IF('7.Config'!$C5="Simultâneo",MAX(0,N8-MAX(0,'8.MotorCalc'!$D$22-'8.MotorCalc'!$D$27)/MAX(0.001,'4.Parâmetros_Verm'!$J$34*'7.Config'!$C$17)),IF('7.Config'!$C5="Azul ataca primeiro",'8.MotorCalc'!$D$32,MAX(0,N8-MAX(0,'8.MotorCalc'!$D$51-'8.MotorCalc'!$D$27)/MAX(0.001,'4.Parâmetros_Verm'!$J$34*'7.Config'!$C$17))))</f>
        <v>3</v>
      </c>
      <c r="O9" s="80">
        <f>IF('7.Config'!$C5="Simultâneo",MAX(0,O8-MAX(0,'8.MotorCalc'!$D$23-'8.MotorCalc'!$D$28)/MAX(0.001,'4.Parâmetros_Verm'!$J$43*'7.Config'!$C$17)),IF('7.Config'!$C5="Azul ataca primeiro",'8.MotorCalc'!$D$33,MAX(0,O8-MAX(0,'8.MotorCalc'!$D$52-'8.MotorCalc'!$D$28)/MAX(0.001,'4.Parâmetros_Verm'!$J$43*'7.Config'!$C$17))))</f>
        <v>2</v>
      </c>
      <c r="P9" s="75">
        <f>C9+D9+E9+F9+G9+H9+I9</f>
        <v>17.91916108246382</v>
      </c>
      <c r="Q9" s="76">
        <f>K9+L9+M9+N9+O9</f>
        <v>14.905237708525441</v>
      </c>
      <c r="R9" s="81" t="str">
        <f>IF(AND((C9+D9+E9)&lt;0.5,(K9+L9)&lt;0.5),"DESTRUIÇÃO NAVAL MÚTUA",IF((C9+D9+E9)&lt;0.5,"DERROTA AZUL",IF((K9+L9)&lt;0.5,"VITÓRIA AZUL","EM CURSO")))&amp;" ["&amp;'7.Config'!$C5&amp;"]"</f>
        <v>EM CURSO [Simultâneo]</v>
      </c>
    </row>
    <row r="10" spans="2:18" ht="15.75" customHeight="1" x14ac:dyDescent="0.2">
      <c r="B10" s="78">
        <v>3</v>
      </c>
      <c r="C10" s="79">
        <f>IF('7.Config'!$C5="Simultâneo",MAX(0,C9-MAX(0,'8.MotorCalc'!$E$5-'8.MotorCalc'!$E$12)/MAX(0.001,'3.Parâmetros_Azul'!$J$7*'7.Config'!$C$18)),IF('7.Config'!$C5="Azul ataca primeiro",MAX(0,C9-MAX(0,'8.MotorCalc'!$E$41-'8.MotorCalc'!$E$12)/MAX(0.001,'3.Parâmetros_Azul'!$J$7*'7.Config'!$C$18)),'8.MotorCalc'!$E$34))</f>
        <v>1.9551092636842666</v>
      </c>
      <c r="D10" s="79">
        <f>IF('7.Config'!$C5="Simultâneo",MAX(0,D9-MAX(0,'8.MotorCalc'!$E$6-'8.MotorCalc'!$E$13)/MAX(0.001,'3.Parâmetros_Azul'!$J$14*'7.Config'!$C$18)),IF('7.Config'!$C5="Azul ataca primeiro",MAX(0,D9-MAX(0,'8.MotorCalc'!$E$42-'8.MotorCalc'!$E$13)/MAX(0.001,'3.Parâmetros_Azul'!$J$14*'7.Config'!$C$18)),'8.MotorCalc'!$E$35))</f>
        <v>1.9551092636842666</v>
      </c>
      <c r="E10" s="79">
        <f>IF('7.Config'!$C5="Simultâneo",MAX(0,E9-MAX(0,'8.MotorCalc'!$E$7-'8.MotorCalc'!$E$14)/MAX(0.001,'3.Parâmetros_Azul'!$J$21*'7.Config'!$C$20)),IF('7.Config'!$C5="Azul ataca primeiro",MAX(0,E9-MAX(0,'8.MotorCalc'!$E$43-'8.MotorCalc'!$E$14)/MAX(0.001,'3.Parâmetros_Azul'!$J$21*'7.Config'!$C$20)),'8.MotorCalc'!$E$36))</f>
        <v>0.99803815213343927</v>
      </c>
      <c r="F10" s="79">
        <f>IF('7.Config'!$C5="Simultâneo",MAX(0,F9-MAX(0,'8.MotorCalc'!$E$8-'8.MotorCalc'!$E$15)/MAX(0.001,'3.Parâmetros_Azul'!$J$28*'7.Config'!$C$17)),IF('7.Config'!$C5="Azul ataca primeiro",MAX(0,F9-MAX(0,'8.MotorCalc'!$E$44-'8.MotorCalc'!$E$15)/MAX(0.001,'3.Parâmetros_Azul'!$J$28*'7.Config'!$C$17)),'8.MotorCalc'!$E$37))</f>
        <v>3</v>
      </c>
      <c r="G10" s="79">
        <f>IF('7.Config'!$C5="Simultâneo",MAX(0,G9-MAX(0,'8.MotorCalc'!$E$9-'8.MotorCalc'!$E$16)/MAX(0.001,'3.Parâmetros_Azul'!$J$35*'7.Config'!$C$17)),IF('7.Config'!$C5="Azul ataca primeiro",MAX(0,G9-MAX(0,'8.MotorCalc'!$E$45-'8.MotorCalc'!$E$16)/MAX(0.001,'3.Parâmetros_Azul'!$J$35*'7.Config'!$C$17)),'8.MotorCalc'!$E$38))</f>
        <v>2</v>
      </c>
      <c r="H10" s="79">
        <f>IF('7.Config'!$C5="Simultâneo",MAX(0,H9-MAX(0,'8.MotorCalc'!$E$10-'8.MotorCalc'!$E$17)/MAX(0.001,'3.Parâmetros_Azul'!$J$42*'7.Config'!$C$19)),IF('7.Config'!$C5="Azul ataca primeiro",MAX(0,H9-MAX(0,'8.MotorCalc'!$E$46-'8.MotorCalc'!$E$17)/MAX(0.001,'3.Parâmetros_Azul'!$J$42*'7.Config'!$C$19)),'8.MotorCalc'!$E$39))</f>
        <v>5.999690918960197</v>
      </c>
      <c r="I10" s="79">
        <f>IF('7.Config'!$C5="Simultâneo",MAX(0,I9-MAX(0,'8.MotorCalc'!$E$11-'8.MotorCalc'!$E$18)/MAX(0.001,'3.Parâmetros_Azul'!$J$49*'7.Config'!$C$19)),IF('7.Config'!$C5="Azul ataca primeiro",MAX(0,I9-MAX(0,'8.MotorCalc'!$E$47-'8.MotorCalc'!$E$18)/MAX(0.001,'3.Parâmetros_Azul'!$J$49*'7.Config'!$C$19)),'8.MotorCalc'!$E$40))</f>
        <v>1.9708873175919543</v>
      </c>
      <c r="K10" s="80">
        <f>IF('7.Config'!$C5="Simultâneo",MAX(0,K9-MAX(0,'8.MotorCalc'!$E$19-'8.MotorCalc'!$E$24)/MAX(0.001,'4.Parâmetros_Verm'!$J$7*'7.Config'!$C$18)),IF('7.Config'!$C5="Azul ataca primeiro",'8.MotorCalc'!$E$29,MAX(0,K9-MAX(0,'8.MotorCalc'!$E$48-'8.MotorCalc'!$E$24)/MAX(0.001,'4.Parâmetros_Verm'!$J$7*'7.Config'!$C$18))))</f>
        <v>1.9286968729605369</v>
      </c>
      <c r="L10" s="80">
        <f>IF('7.Config'!$C5="Simultâneo",MAX(0,L9-MAX(0,'8.MotorCalc'!$E$20-'8.MotorCalc'!$E$25)/MAX(0.001,'4.Parâmetros_Verm'!$J$16*'7.Config'!$C$18)),IF('7.Config'!$C5="Azul ataca primeiro",'8.MotorCalc'!$E$30,MAX(0,L9-MAX(0,'8.MotorCalc'!$E$49-'8.MotorCalc'!$E$25)/MAX(0.001,'4.Parâmetros_Verm'!$J$16*'7.Config'!$C$18))))</f>
        <v>1.9286968729605369</v>
      </c>
      <c r="M10" s="80">
        <f>IF('7.Config'!$C5="Simultâneo",MAX(0,M9-MAX(0,'8.MotorCalc'!$E$21-'8.MotorCalc'!$E$26)/MAX(0.001,'4.Parâmetros_Verm'!$J$25*'7.Config'!$C$17)),IF('7.Config'!$C5="Azul ataca primeiro",'8.MotorCalc'!$E$31,MAX(0,M9-MAX(0,'8.MotorCalc'!$E$50-'8.MotorCalc'!$E$26)/MAX(0.001,'4.Parâmetros_Verm'!$J$25*'7.Config'!$C$17))))</f>
        <v>6</v>
      </c>
      <c r="N10" s="80">
        <f>IF('7.Config'!$C5="Simultâneo",MAX(0,N9-MAX(0,'8.MotorCalc'!$E$22-'8.MotorCalc'!$E$27)/MAX(0.001,'4.Parâmetros_Verm'!$J$34*'7.Config'!$C$17)),IF('7.Config'!$C5="Azul ataca primeiro",'8.MotorCalc'!$E$32,MAX(0,N9-MAX(0,'8.MotorCalc'!$E$51-'8.MotorCalc'!$E$27)/MAX(0.001,'4.Parâmetros_Verm'!$J$34*'7.Config'!$C$17))))</f>
        <v>3</v>
      </c>
      <c r="O10" s="80">
        <f>IF('7.Config'!$C5="Simultâneo",MAX(0,O9-MAX(0,'8.MotorCalc'!$E$23-'8.MotorCalc'!$E$28)/MAX(0.001,'4.Parâmetros_Verm'!$J$43*'7.Config'!$C$17)),IF('7.Config'!$C5="Azul ataca primeiro",'8.MotorCalc'!$E$33,MAX(0,O9-MAX(0,'8.MotorCalc'!$E$52-'8.MotorCalc'!$E$28)/MAX(0.001,'4.Parâmetros_Verm'!$J$43*'7.Config'!$C$17))))</f>
        <v>2</v>
      </c>
      <c r="P10" s="75">
        <f>C10+D10+E10+F10+G10+H10+I10</f>
        <v>17.878834916054124</v>
      </c>
      <c r="Q10" s="76">
        <f>K10+L10+M10+N10+O10</f>
        <v>14.857393745921074</v>
      </c>
      <c r="R10" s="81" t="str">
        <f>IF(AND((C10+D10+E10)&lt;0.5,(K10+L10)&lt;0.5),"DESTRUIÇÃO NAVAL MÚTUA",IF((C10+D10+E10)&lt;0.5,"DERROTA AZUL",IF((K10+L10)&lt;0.5,"VITÓRIA AZUL","EM CURSO")))&amp;" ["&amp;'7.Config'!$C5&amp;"]"</f>
        <v>EM CURSO [Simultâneo]</v>
      </c>
    </row>
    <row r="11" spans="2:18" ht="15.75" customHeight="1" x14ac:dyDescent="0.2">
      <c r="B11" s="78">
        <v>4</v>
      </c>
      <c r="C11" s="79">
        <f>IF('7.Config'!$C5="Simultâneo",MAX(0,C10-MAX(0,'8.MotorCalc'!$F$5-'8.MotorCalc'!$F$12)/MAX(0.001,'3.Parâmetros_Azul'!$J$7*'7.Config'!$C$18)),IF('7.Config'!$C5="Azul ataca primeiro",MAX(0,C10-MAX(0,'8.MotorCalc'!$F$41-'8.MotorCalc'!$F$12)/MAX(0.001,'3.Parâmetros_Azul'!$J$7*'7.Config'!$C$18)),'8.MotorCalc'!$F$34))</f>
        <v>1.9401162060272905</v>
      </c>
      <c r="D11" s="79">
        <f>IF('7.Config'!$C5="Simultâneo",MAX(0,D10-MAX(0,'8.MotorCalc'!$F$6-'8.MotorCalc'!$F$13)/MAX(0.001,'3.Parâmetros_Azul'!$J$14*'7.Config'!$C$18)),IF('7.Config'!$C5="Azul ataca primeiro",MAX(0,D10-MAX(0,'8.MotorCalc'!$F$42-'8.MotorCalc'!$F$13)/MAX(0.001,'3.Parâmetros_Azul'!$J$14*'7.Config'!$C$18)),'8.MotorCalc'!$F$35))</f>
        <v>1.9401162060272905</v>
      </c>
      <c r="E11" s="79">
        <f>IF('7.Config'!$C5="Simultâneo",MAX(0,E10-MAX(0,'8.MotorCalc'!$F$7-'8.MotorCalc'!$F$14)/MAX(0.001,'3.Parâmetros_Azul'!$J$21*'7.Config'!$C$20)),IF('7.Config'!$C5="Azul ataca primeiro",MAX(0,E10-MAX(0,'8.MotorCalc'!$F$43-'8.MotorCalc'!$F$14)/MAX(0.001,'3.Parâmetros_Azul'!$J$21*'7.Config'!$C$20)),'8.MotorCalc'!$F$36))</f>
        <v>0.997398749936803</v>
      </c>
      <c r="F11" s="79">
        <f>IF('7.Config'!$C5="Simultâneo",MAX(0,F10-MAX(0,'8.MotorCalc'!$F$8-'8.MotorCalc'!$F$15)/MAX(0.001,'3.Parâmetros_Azul'!$J$28*'7.Config'!$C$17)),IF('7.Config'!$C5="Azul ataca primeiro",MAX(0,F10-MAX(0,'8.MotorCalc'!$F$44-'8.MotorCalc'!$F$15)/MAX(0.001,'3.Parâmetros_Azul'!$J$28*'7.Config'!$C$17)),'8.MotorCalc'!$F$37))</f>
        <v>3</v>
      </c>
      <c r="G11" s="79">
        <f>IF('7.Config'!$C5="Simultâneo",MAX(0,G10-MAX(0,'8.MotorCalc'!$F$9-'8.MotorCalc'!$F$16)/MAX(0.001,'3.Parâmetros_Azul'!$J$35*'7.Config'!$C$17)),IF('7.Config'!$C5="Azul ataca primeiro",MAX(0,G10-MAX(0,'8.MotorCalc'!$F$45-'8.MotorCalc'!$F$16)/MAX(0.001,'3.Parâmetros_Azul'!$J$35*'7.Config'!$C$17)),'8.MotorCalc'!$F$38))</f>
        <v>2</v>
      </c>
      <c r="H11" s="79">
        <f>IF('7.Config'!$C5="Simultâneo",MAX(0,H10-MAX(0,'8.MotorCalc'!$F$10-'8.MotorCalc'!$F$17)/MAX(0.001,'3.Parâmetros_Azul'!$J$42*'7.Config'!$C$19)),IF('7.Config'!$C5="Azul ataca primeiro",MAX(0,H10-MAX(0,'8.MotorCalc'!$F$46-'8.MotorCalc'!$F$17)/MAX(0.001,'3.Parâmetros_Azul'!$J$42*'7.Config'!$C$19)),'8.MotorCalc'!$F$39))</f>
        <v>5.999690918960197</v>
      </c>
      <c r="I11" s="79">
        <f>IF('7.Config'!$C5="Simultâneo",MAX(0,I10-MAX(0,'8.MotorCalc'!$F$11-'8.MotorCalc'!$F$18)/MAX(0.001,'3.Parâmetros_Azul'!$J$49*'7.Config'!$C$19)),IF('7.Config'!$C5="Azul ataca primeiro",MAX(0,I10-MAX(0,'8.MotorCalc'!$F$47-'8.MotorCalc'!$F$18)/MAX(0.001,'3.Parâmetros_Azul'!$J$49*'7.Config'!$C$19)),'8.MotorCalc'!$F$40))</f>
        <v>1.9612459943807163</v>
      </c>
      <c r="K11" s="80">
        <f>IF('7.Config'!$C5="Simultâneo",MAX(0,K10-MAX(0,'8.MotorCalc'!$F$19-'8.MotorCalc'!$F$24)/MAX(0.001,'4.Parâmetros_Verm'!$J$7*'7.Config'!$C$18)),IF('7.Config'!$C5="Azul ataca primeiro",'8.MotorCalc'!$F$29,MAX(0,K10-MAX(0,'8.MotorCalc'!$F$48-'8.MotorCalc'!$F$24)/MAX(0.001,'4.Parâmetros_Verm'!$J$7*'7.Config'!$C$18))))</f>
        <v>1.9046181823684254</v>
      </c>
      <c r="L11" s="80">
        <f>IF('7.Config'!$C5="Simultâneo",MAX(0,L10-MAX(0,'8.MotorCalc'!$F$20-'8.MotorCalc'!$F$25)/MAX(0.001,'4.Parâmetros_Verm'!$J$16*'7.Config'!$C$18)),IF('7.Config'!$C5="Azul ataca primeiro",'8.MotorCalc'!$F$30,MAX(0,L10-MAX(0,'8.MotorCalc'!$F$49-'8.MotorCalc'!$F$25)/MAX(0.001,'4.Parâmetros_Verm'!$J$16*'7.Config'!$C$18))))</f>
        <v>1.9046181823684254</v>
      </c>
      <c r="M11" s="80">
        <f>IF('7.Config'!$C5="Simultâneo",MAX(0,M10-MAX(0,'8.MotorCalc'!$F$21-'8.MotorCalc'!$F$26)/MAX(0.001,'4.Parâmetros_Verm'!$J$25*'7.Config'!$C$17)),IF('7.Config'!$C5="Azul ataca primeiro",'8.MotorCalc'!$F$31,MAX(0,M10-MAX(0,'8.MotorCalc'!$F$50-'8.MotorCalc'!$F$26)/MAX(0.001,'4.Parâmetros_Verm'!$J$25*'7.Config'!$C$17))))</f>
        <v>6</v>
      </c>
      <c r="N11" s="80">
        <f>IF('7.Config'!$C5="Simultâneo",MAX(0,N10-MAX(0,'8.MotorCalc'!$F$22-'8.MotorCalc'!$F$27)/MAX(0.001,'4.Parâmetros_Verm'!$J$34*'7.Config'!$C$17)),IF('7.Config'!$C5="Azul ataca primeiro",'8.MotorCalc'!$F$32,MAX(0,N10-MAX(0,'8.MotorCalc'!$F$51-'8.MotorCalc'!$F$27)/MAX(0.001,'4.Parâmetros_Verm'!$J$34*'7.Config'!$C$17))))</f>
        <v>3</v>
      </c>
      <c r="O11" s="80">
        <f>IF('7.Config'!$C5="Simultâneo",MAX(0,O10-MAX(0,'8.MotorCalc'!$F$23-'8.MotorCalc'!$F$28)/MAX(0.001,'4.Parâmetros_Verm'!$J$43*'7.Config'!$C$17)),IF('7.Config'!$C5="Azul ataca primeiro",'8.MotorCalc'!$F$33,MAX(0,O10-MAX(0,'8.MotorCalc'!$F$52-'8.MotorCalc'!$F$28)/MAX(0.001,'4.Parâmetros_Verm'!$J$43*'7.Config'!$C$17))))</f>
        <v>2</v>
      </c>
      <c r="P11" s="75">
        <f>C11+D11+E11+F11+G11+H11+I11</f>
        <v>17.838568075332297</v>
      </c>
      <c r="Q11" s="76">
        <f>K11+L11+M11+N11+O11</f>
        <v>14.809236364736851</v>
      </c>
      <c r="R11" s="81" t="str">
        <f>IF(AND((C11+D11+E11)&lt;0.5,(K11+L11)&lt;0.5),"DESTRUIÇÃO NAVAL MÚTUA",IF((C11+D11+E11)&lt;0.5,"DERROTA AZUL",IF((K11+L11)&lt;0.5,"VITÓRIA AZUL","EM CURSO")))&amp;" ["&amp;'7.Config'!$C5&amp;"]"</f>
        <v>EM CURSO [Simultâneo]</v>
      </c>
    </row>
    <row r="12" spans="2:18" ht="15.75" customHeight="1" x14ac:dyDescent="0.2">
      <c r="B12" s="78">
        <v>5</v>
      </c>
      <c r="C12" s="79">
        <f>IF('7.Config'!$C5="Simultâneo",MAX(0,C11-MAX(0,'8.MotorCalc'!$G$5-'8.MotorCalc'!$G$12)/MAX(0.001,'3.Parâmetros_Azul'!$J$7*'7.Config'!$C$18)),IF('7.Config'!$C5="Azul ataca primeiro",MAX(0,C11-MAX(0,'8.MotorCalc'!$G$41-'8.MotorCalc'!$G$12)/MAX(0.001,'3.Parâmetros_Azul'!$J$7*'7.Config'!$C$18)),'8.MotorCalc'!$G$34))</f>
        <v>1.9251095112699252</v>
      </c>
      <c r="D12" s="79">
        <f>IF('7.Config'!$C5="Simultâneo",MAX(0,D11-MAX(0,'8.MotorCalc'!$G$6-'8.MotorCalc'!$G$13)/MAX(0.001,'3.Parâmetros_Azul'!$J$14*'7.Config'!$C$18)),IF('7.Config'!$C5="Azul ataca primeiro",MAX(0,D11-MAX(0,'8.MotorCalc'!$G$42-'8.MotorCalc'!$G$13)/MAX(0.001,'3.Parâmetros_Azul'!$J$14*'7.Config'!$C$18)),'8.MotorCalc'!$G$35))</f>
        <v>1.9251095112699252</v>
      </c>
      <c r="E12" s="79">
        <f>IF('7.Config'!$C5="Simultâneo",MAX(0,E11-MAX(0,'8.MotorCalc'!$G$7-'8.MotorCalc'!$G$14)/MAX(0.001,'3.Parâmetros_Azul'!$J$21*'7.Config'!$C$20)),IF('7.Config'!$C5="Azul ataca primeiro",MAX(0,E11-MAX(0,'8.MotorCalc'!$G$43-'8.MotorCalc'!$G$14)/MAX(0.001,'3.Parâmetros_Azul'!$J$21*'7.Config'!$C$20)),'8.MotorCalc'!$G$36))</f>
        <v>0.99676671596990574</v>
      </c>
      <c r="F12" s="79">
        <f>IF('7.Config'!$C5="Simultâneo",MAX(0,F11-MAX(0,'8.MotorCalc'!$G$8-'8.MotorCalc'!$G$15)/MAX(0.001,'3.Parâmetros_Azul'!$J$28*'7.Config'!$C$17)),IF('7.Config'!$C5="Azul ataca primeiro",MAX(0,F11-MAX(0,'8.MotorCalc'!$G$44-'8.MotorCalc'!$G$15)/MAX(0.001,'3.Parâmetros_Azul'!$J$28*'7.Config'!$C$17)),'8.MotorCalc'!$G$37))</f>
        <v>3</v>
      </c>
      <c r="G12" s="79">
        <f>IF('7.Config'!$C5="Simultâneo",MAX(0,G11-MAX(0,'8.MotorCalc'!$G$9-'8.MotorCalc'!$G$16)/MAX(0.001,'3.Parâmetros_Azul'!$J$35*'7.Config'!$C$17)),IF('7.Config'!$C5="Azul ataca primeiro",MAX(0,G11-MAX(0,'8.MotorCalc'!$G$45-'8.MotorCalc'!$G$16)/MAX(0.001,'3.Parâmetros_Azul'!$J$35*'7.Config'!$C$17)),'8.MotorCalc'!$G$38))</f>
        <v>2</v>
      </c>
      <c r="H12" s="79">
        <f>IF('7.Config'!$C5="Simultâneo",MAX(0,H11-MAX(0,'8.MotorCalc'!$G$10-'8.MotorCalc'!$G$17)/MAX(0.001,'3.Parâmetros_Azul'!$J$42*'7.Config'!$C$19)),IF('7.Config'!$C5="Azul ataca primeiro",MAX(0,H11-MAX(0,'8.MotorCalc'!$G$46-'8.MotorCalc'!$G$17)/MAX(0.001,'3.Parâmetros_Azul'!$J$42*'7.Config'!$C$19)),'8.MotorCalc'!$G$39))</f>
        <v>5.999690918960197</v>
      </c>
      <c r="I12" s="79">
        <f>IF('7.Config'!$C5="Simultâneo",MAX(0,I11-MAX(0,'8.MotorCalc'!$G$11-'8.MotorCalc'!$G$18)/MAX(0.001,'3.Parâmetros_Azul'!$J$49*'7.Config'!$C$19)),IF('7.Config'!$C5="Azul ataca primeiro",MAX(0,I11-MAX(0,'8.MotorCalc'!$G$47-'8.MotorCalc'!$G$18)/MAX(0.001,'3.Parâmetros_Azul'!$J$49*'7.Config'!$C$19)),'8.MotorCalc'!$G$40))</f>
        <v>1.951636845021937</v>
      </c>
      <c r="K12" s="80">
        <f>IF('7.Config'!$C5="Simultâneo",MAX(0,K11-MAX(0,'8.MotorCalc'!$G$19-'8.MotorCalc'!$G$24)/MAX(0.001,'4.Parâmetros_Verm'!$J$7*'7.Config'!$C$18)),IF('7.Config'!$C5="Azul ataca primeiro",'8.MotorCalc'!$G$29,MAX(0,K11-MAX(0,'8.MotorCalc'!$G$48-'8.MotorCalc'!$G$24)/MAX(0.001,'4.Parâmetros_Verm'!$J$7*'7.Config'!$C$18))))</f>
        <v>1.8803809353081049</v>
      </c>
      <c r="L12" s="80">
        <f>IF('7.Config'!$C5="Simultâneo",MAX(0,L11-MAX(0,'8.MotorCalc'!$G$20-'8.MotorCalc'!$G$25)/MAX(0.001,'4.Parâmetros_Verm'!$J$16*'7.Config'!$C$18)),IF('7.Config'!$C5="Azul ataca primeiro",'8.MotorCalc'!$G$30,MAX(0,L11-MAX(0,'8.MotorCalc'!$G$49-'8.MotorCalc'!$G$25)/MAX(0.001,'4.Parâmetros_Verm'!$J$16*'7.Config'!$C$18))))</f>
        <v>1.8803809353081049</v>
      </c>
      <c r="M12" s="80">
        <f>IF('7.Config'!$C5="Simultâneo",MAX(0,M11-MAX(0,'8.MotorCalc'!$G$21-'8.MotorCalc'!$G$26)/MAX(0.001,'4.Parâmetros_Verm'!$J$25*'7.Config'!$C$17)),IF('7.Config'!$C5="Azul ataca primeiro",'8.MotorCalc'!$G$31,MAX(0,M11-MAX(0,'8.MotorCalc'!$G$50-'8.MotorCalc'!$G$26)/MAX(0.001,'4.Parâmetros_Verm'!$J$25*'7.Config'!$C$17))))</f>
        <v>6</v>
      </c>
      <c r="N12" s="80">
        <f>IF('7.Config'!$C5="Simultâneo",MAX(0,N11-MAX(0,'8.MotorCalc'!$G$22-'8.MotorCalc'!$G$27)/MAX(0.001,'4.Parâmetros_Verm'!$J$34*'7.Config'!$C$17)),IF('7.Config'!$C5="Azul ataca primeiro",'8.MotorCalc'!$G$32,MAX(0,N11-MAX(0,'8.MotorCalc'!$G$51-'8.MotorCalc'!$G$27)/MAX(0.001,'4.Parâmetros_Verm'!$J$34*'7.Config'!$C$17))))</f>
        <v>3</v>
      </c>
      <c r="O12" s="80">
        <f>IF('7.Config'!$C5="Simultâneo",MAX(0,O11-MAX(0,'8.MotorCalc'!$G$23-'8.MotorCalc'!$G$28)/MAX(0.001,'4.Parâmetros_Verm'!$J$43*'7.Config'!$C$17)),IF('7.Config'!$C5="Azul ataca primeiro",'8.MotorCalc'!$G$33,MAX(0,O11-MAX(0,'8.MotorCalc'!$G$52-'8.MotorCalc'!$G$28)/MAX(0.001,'4.Parâmetros_Verm'!$J$43*'7.Config'!$C$17))))</f>
        <v>2</v>
      </c>
      <c r="P12" s="75">
        <f>C12+D12+E12+F12+G12+H12+I12</f>
        <v>17.79831350249189</v>
      </c>
      <c r="Q12" s="76">
        <f>K12+L12+M12+N12+O12</f>
        <v>14.760761870616211</v>
      </c>
      <c r="R12" s="81" t="str">
        <f>IF(AND((C12+D12+E12)&lt;0.5,(K12+L12)&lt;0.5),"DESTRUIÇÃO NAVAL MÚTUA",IF((C12+D12+E12)&lt;0.5,"DERROTA AZUL",IF((K12+L12)&lt;0.5,"VITÓRIA AZUL","EM CURSO")))&amp;" ["&amp;'7.Config'!$C5&amp;"]"</f>
        <v>EM CURSO [Simultâneo]</v>
      </c>
    </row>
    <row r="13" spans="2:18" ht="15.75" customHeight="1" x14ac:dyDescent="0.2">
      <c r="B13" s="78">
        <v>6</v>
      </c>
      <c r="C13" s="79">
        <f>IF('7.Config'!$C5="Simultâneo",MAX(0,C12-MAX(0,'8.MotorCalc'!$H$5-'8.MotorCalc'!$H$12)/MAX(0.001,'3.Parâmetros_Azul'!$J$7*'7.Config'!$C$18)),IF('7.Config'!$C5="Azul ataca primeiro",MAX(0,C12-MAX(0,'8.MotorCalc'!$H$41-'8.MotorCalc'!$H$12)/MAX(0.001,'3.Parâmetros_Azul'!$J$7*'7.Config'!$C$18)),'8.MotorCalc'!$H$34))</f>
        <v>1.9100898639510919</v>
      </c>
      <c r="D13" s="79">
        <f>IF('7.Config'!$C5="Simultâneo",MAX(0,D12-MAX(0,'8.MotorCalc'!$H$6-'8.MotorCalc'!$H$13)/MAX(0.001,'3.Parâmetros_Azul'!$J$14*'7.Config'!$C$18)),IF('7.Config'!$C5="Azul ataca primeiro",MAX(0,D12-MAX(0,'8.MotorCalc'!$H$42-'8.MotorCalc'!$H$13)/MAX(0.001,'3.Parâmetros_Azul'!$J$14*'7.Config'!$C$18)),'8.MotorCalc'!$H$35))</f>
        <v>1.9100898639510919</v>
      </c>
      <c r="E13" s="79">
        <f>IF('7.Config'!$C5="Simultâneo",MAX(0,E12-MAX(0,'8.MotorCalc'!$H$7-'8.MotorCalc'!$H$14)/MAX(0.001,'3.Parâmetros_Azul'!$J$21*'7.Config'!$C$20)),IF('7.Config'!$C5="Azul ataca primeiro",MAX(0,E12-MAX(0,'8.MotorCalc'!$H$43-'8.MotorCalc'!$H$14)/MAX(0.001,'3.Parâmetros_Azul'!$J$21*'7.Config'!$C$20)),'8.MotorCalc'!$H$36))</f>
        <v>0.99614210801493541</v>
      </c>
      <c r="F13" s="79">
        <f>IF('7.Config'!$C5="Simultâneo",MAX(0,F12-MAX(0,'8.MotorCalc'!$H$8-'8.MotorCalc'!$H$15)/MAX(0.001,'3.Parâmetros_Azul'!$J$28*'7.Config'!$C$17)),IF('7.Config'!$C5="Azul ataca primeiro",MAX(0,F12-MAX(0,'8.MotorCalc'!$H$44-'8.MotorCalc'!$H$15)/MAX(0.001,'3.Parâmetros_Azul'!$J$28*'7.Config'!$C$17)),'8.MotorCalc'!$H$37))</f>
        <v>3</v>
      </c>
      <c r="G13" s="79">
        <f>IF('7.Config'!$C5="Simultâneo",MAX(0,G12-MAX(0,'8.MotorCalc'!$H$9-'8.MotorCalc'!$H$16)/MAX(0.001,'3.Parâmetros_Azul'!$J$35*'7.Config'!$C$17)),IF('7.Config'!$C5="Azul ataca primeiro",MAX(0,G12-MAX(0,'8.MotorCalc'!$H$45-'8.MotorCalc'!$H$16)/MAX(0.001,'3.Parâmetros_Azul'!$J$35*'7.Config'!$C$17)),'8.MotorCalc'!$H$38))</f>
        <v>2</v>
      </c>
      <c r="H13" s="79">
        <f>IF('7.Config'!$C5="Simultâneo",MAX(0,H12-MAX(0,'8.MotorCalc'!$H$10-'8.MotorCalc'!$H$17)/MAX(0.001,'3.Parâmetros_Azul'!$J$42*'7.Config'!$C$19)),IF('7.Config'!$C5="Azul ataca primeiro",MAX(0,H12-MAX(0,'8.MotorCalc'!$H$46-'8.MotorCalc'!$H$17)/MAX(0.001,'3.Parâmetros_Azul'!$J$42*'7.Config'!$C$19)),'8.MotorCalc'!$H$39))</f>
        <v>5.999690918960197</v>
      </c>
      <c r="I13" s="79">
        <f>IF('7.Config'!$C5="Simultâneo",MAX(0,I12-MAX(0,'8.MotorCalc'!$H$11-'8.MotorCalc'!$H$18)/MAX(0.001,'3.Parâmetros_Azul'!$J$49*'7.Config'!$C$19)),IF('7.Config'!$C5="Azul ataca primeiro",MAX(0,I12-MAX(0,'8.MotorCalc'!$H$47-'8.MotorCalc'!$H$18)/MAX(0.001,'3.Parâmetros_Azul'!$J$49*'7.Config'!$C$19)),'8.MotorCalc'!$H$40))</f>
        <v>1.9420603104449832</v>
      </c>
      <c r="K13" s="80">
        <f>IF('7.Config'!$C5="Simultâneo",MAX(0,K12-MAX(0,'8.MotorCalc'!$H$19-'8.MotorCalc'!$H$24)/MAX(0.001,'4.Parâmetros_Verm'!$J$7*'7.Config'!$C$18)),IF('7.Config'!$C5="Azul ataca primeiro",'8.MotorCalc'!$H$29,MAX(0,K12-MAX(0,'8.MotorCalc'!$H$48-'8.MotorCalc'!$H$24)/MAX(0.001,'4.Parâmetros_Verm'!$J$7*'7.Config'!$C$18))))</f>
        <v>1.8559833625296327</v>
      </c>
      <c r="L13" s="80">
        <f>IF('7.Config'!$C5="Simultâneo",MAX(0,L12-MAX(0,'8.MotorCalc'!$H$20-'8.MotorCalc'!$H$25)/MAX(0.001,'4.Parâmetros_Verm'!$J$16*'7.Config'!$C$18)),IF('7.Config'!$C5="Azul ataca primeiro",'8.MotorCalc'!$H$30,MAX(0,L12-MAX(0,'8.MotorCalc'!$H$49-'8.MotorCalc'!$H$25)/MAX(0.001,'4.Parâmetros_Verm'!$J$16*'7.Config'!$C$18))))</f>
        <v>1.8559833625296327</v>
      </c>
      <c r="M13" s="80">
        <f>IF('7.Config'!$C5="Simultâneo",MAX(0,M12-MAX(0,'8.MotorCalc'!$H$21-'8.MotorCalc'!$H$26)/MAX(0.001,'4.Parâmetros_Verm'!$J$25*'7.Config'!$C$17)),IF('7.Config'!$C5="Azul ataca primeiro",'8.MotorCalc'!$H$31,MAX(0,M12-MAX(0,'8.MotorCalc'!$H$50-'8.MotorCalc'!$H$26)/MAX(0.001,'4.Parâmetros_Verm'!$J$25*'7.Config'!$C$17))))</f>
        <v>6</v>
      </c>
      <c r="N13" s="80">
        <f>IF('7.Config'!$C5="Simultâneo",MAX(0,N12-MAX(0,'8.MotorCalc'!$H$22-'8.MotorCalc'!$H$27)/MAX(0.001,'4.Parâmetros_Verm'!$J$34*'7.Config'!$C$17)),IF('7.Config'!$C5="Azul ataca primeiro",'8.MotorCalc'!$H$32,MAX(0,N12-MAX(0,'8.MotorCalc'!$H$51-'8.MotorCalc'!$H$27)/MAX(0.001,'4.Parâmetros_Verm'!$J$34*'7.Config'!$C$17))))</f>
        <v>3</v>
      </c>
      <c r="O13" s="80">
        <f>IF('7.Config'!$C5="Simultâneo",MAX(0,O12-MAX(0,'8.MotorCalc'!$H$23-'8.MotorCalc'!$H$28)/MAX(0.001,'4.Parâmetros_Verm'!$J$43*'7.Config'!$C$17)),IF('7.Config'!$C5="Azul ataca primeiro",'8.MotorCalc'!$H$33,MAX(0,O12-MAX(0,'8.MotorCalc'!$H$52-'8.MotorCalc'!$H$28)/MAX(0.001,'4.Parâmetros_Verm'!$J$43*'7.Config'!$C$17))))</f>
        <v>2</v>
      </c>
      <c r="P13" s="75">
        <f>C13+D13+E13+F13+G13+H13+I13</f>
        <v>17.7580730653223</v>
      </c>
      <c r="Q13" s="76">
        <f>K13+L13+M13+N13+O13</f>
        <v>14.711966725059266</v>
      </c>
      <c r="R13" s="81" t="str">
        <f>IF(AND((C13+D13+E13)&lt;0.5,(K13+L13)&lt;0.5),"DESTRUIÇÃO NAVAL MÚTUA",IF((C13+D13+E13)&lt;0.5,"DERROTA AZUL",IF((K13+L13)&lt;0.5,"VITÓRIA AZUL","EM CURSO")))&amp;" ["&amp;'7.Config'!$C5&amp;"]"</f>
        <v>EM CURSO [Simultâneo]</v>
      </c>
    </row>
    <row r="14" spans="2:18" ht="15.75" customHeight="1" x14ac:dyDescent="0.2">
      <c r="B14" s="78">
        <v>7</v>
      </c>
      <c r="C14" s="79">
        <f>IF('7.Config'!$C5="Simultâneo",MAX(0,C13-MAX(0,'8.MotorCalc'!$I$5-'8.MotorCalc'!$I$12)/MAX(0.001,'3.Parâmetros_Azul'!$J$7*'7.Config'!$C$18)),IF('7.Config'!$C5="Azul ataca primeiro",MAX(0,C13-MAX(0,'8.MotorCalc'!$I$41-'8.MotorCalc'!$I$12)/MAX(0.001,'3.Parâmetros_Azul'!$J$7*'7.Config'!$C$18)),'8.MotorCalc'!$I$34))</f>
        <v>1.8950579638622636</v>
      </c>
      <c r="D14" s="79">
        <f>IF('7.Config'!$C5="Simultâneo",MAX(0,D13-MAX(0,'8.MotorCalc'!$I$6-'8.MotorCalc'!$I$13)/MAX(0.001,'3.Parâmetros_Azul'!$J$14*'7.Config'!$C$18)),IF('7.Config'!$C5="Azul ataca primeiro",MAX(0,D13-MAX(0,'8.MotorCalc'!$I$42-'8.MotorCalc'!$I$13)/MAX(0.001,'3.Parâmetros_Azul'!$J$14*'7.Config'!$C$18)),'8.MotorCalc'!$I$35))</f>
        <v>1.8950579638622636</v>
      </c>
      <c r="E14" s="79">
        <f>IF('7.Config'!$C5="Simultâneo",MAX(0,E13-MAX(0,'8.MotorCalc'!$I$7-'8.MotorCalc'!$I$14)/MAX(0.001,'3.Parâmetros_Azul'!$J$21*'7.Config'!$C$20)),IF('7.Config'!$C5="Azul ataca primeiro",MAX(0,E13-MAX(0,'8.MotorCalc'!$I$43-'8.MotorCalc'!$I$14)/MAX(0.001,'3.Parâmetros_Azul'!$J$21*'7.Config'!$C$20)),'8.MotorCalc'!$I$36))</f>
        <v>0.99552498447929283</v>
      </c>
      <c r="F14" s="79">
        <f>IF('7.Config'!$C5="Simultâneo",MAX(0,F13-MAX(0,'8.MotorCalc'!$I$8-'8.MotorCalc'!$I$15)/MAX(0.001,'3.Parâmetros_Azul'!$J$28*'7.Config'!$C$17)),IF('7.Config'!$C5="Azul ataca primeiro",MAX(0,F13-MAX(0,'8.MotorCalc'!$I$44-'8.MotorCalc'!$I$15)/MAX(0.001,'3.Parâmetros_Azul'!$J$28*'7.Config'!$C$17)),'8.MotorCalc'!$I$37))</f>
        <v>3</v>
      </c>
      <c r="G14" s="79">
        <f>IF('7.Config'!$C5="Simultâneo",MAX(0,G13-MAX(0,'8.MotorCalc'!$I$9-'8.MotorCalc'!$I$16)/MAX(0.001,'3.Parâmetros_Azul'!$J$35*'7.Config'!$C$17)),IF('7.Config'!$C5="Azul ataca primeiro",MAX(0,G13-MAX(0,'8.MotorCalc'!$I$45-'8.MotorCalc'!$I$16)/MAX(0.001,'3.Parâmetros_Azul'!$J$35*'7.Config'!$C$17)),'8.MotorCalc'!$I$38))</f>
        <v>2</v>
      </c>
      <c r="H14" s="79">
        <f>IF('7.Config'!$C5="Simultâneo",MAX(0,H13-MAX(0,'8.MotorCalc'!$I$10-'8.MotorCalc'!$I$17)/MAX(0.001,'3.Parâmetros_Azul'!$J$42*'7.Config'!$C$19)),IF('7.Config'!$C5="Azul ataca primeiro",MAX(0,H13-MAX(0,'8.MotorCalc'!$I$46-'8.MotorCalc'!$I$17)/MAX(0.001,'3.Parâmetros_Azul'!$J$42*'7.Config'!$C$19)),'8.MotorCalc'!$I$39))</f>
        <v>5.999690918960197</v>
      </c>
      <c r="I14" s="79">
        <f>IF('7.Config'!$C5="Simultâneo",MAX(0,I13-MAX(0,'8.MotorCalc'!$I$11-'8.MotorCalc'!$I$18)/MAX(0.001,'3.Parâmetros_Azul'!$J$49*'7.Config'!$C$19)),IF('7.Config'!$C5="Azul ataca primeiro",MAX(0,I13-MAX(0,'8.MotorCalc'!$I$47-'8.MotorCalc'!$I$18)/MAX(0.001,'3.Parâmetros_Azul'!$J$49*'7.Config'!$C$19)),'8.MotorCalc'!$I$40))</f>
        <v>1.9325168366954824</v>
      </c>
      <c r="K14" s="80">
        <f>IF('7.Config'!$C5="Simultâneo",MAX(0,K13-MAX(0,'8.MotorCalc'!$I$19-'8.MotorCalc'!$I$24)/MAX(0.001,'4.Parâmetros_Verm'!$J$7*'7.Config'!$C$18)),IF('7.Config'!$C5="Azul ataca primeiro",'8.MotorCalc'!$I$29,MAX(0,K13-MAX(0,'8.MotorCalc'!$I$48-'8.MotorCalc'!$I$24)/MAX(0.001,'4.Parâmetros_Verm'!$J$7*'7.Config'!$C$18))))</f>
        <v>1.8314236707922789</v>
      </c>
      <c r="L14" s="80">
        <f>IF('7.Config'!$C5="Simultâneo",MAX(0,L13-MAX(0,'8.MotorCalc'!$I$20-'8.MotorCalc'!$I$25)/MAX(0.001,'4.Parâmetros_Verm'!$J$16*'7.Config'!$C$18)),IF('7.Config'!$C5="Azul ataca primeiro",'8.MotorCalc'!$I$30,MAX(0,L13-MAX(0,'8.MotorCalc'!$I$49-'8.MotorCalc'!$I$25)/MAX(0.001,'4.Parâmetros_Verm'!$J$16*'7.Config'!$C$18))))</f>
        <v>1.8314236707922789</v>
      </c>
      <c r="M14" s="80">
        <f>IF('7.Config'!$C5="Simultâneo",MAX(0,M13-MAX(0,'8.MotorCalc'!$I$21-'8.MotorCalc'!$I$26)/MAX(0.001,'4.Parâmetros_Verm'!$J$25*'7.Config'!$C$17)),IF('7.Config'!$C5="Azul ataca primeiro",'8.MotorCalc'!$I$31,MAX(0,M13-MAX(0,'8.MotorCalc'!$I$50-'8.MotorCalc'!$I$26)/MAX(0.001,'4.Parâmetros_Verm'!$J$25*'7.Config'!$C$17))))</f>
        <v>6</v>
      </c>
      <c r="N14" s="80">
        <f>IF('7.Config'!$C5="Simultâneo",MAX(0,N13-MAX(0,'8.MotorCalc'!$I$22-'8.MotorCalc'!$I$27)/MAX(0.001,'4.Parâmetros_Verm'!$J$34*'7.Config'!$C$17)),IF('7.Config'!$C5="Azul ataca primeiro",'8.MotorCalc'!$I$32,MAX(0,N13-MAX(0,'8.MotorCalc'!$I$51-'8.MotorCalc'!$I$27)/MAX(0.001,'4.Parâmetros_Verm'!$J$34*'7.Config'!$C$17))))</f>
        <v>3</v>
      </c>
      <c r="O14" s="80">
        <f>IF('7.Config'!$C5="Simultâneo",MAX(0,O13-MAX(0,'8.MotorCalc'!$I$23-'8.MotorCalc'!$I$28)/MAX(0.001,'4.Parâmetros_Verm'!$J$43*'7.Config'!$C$17)),IF('7.Config'!$C5="Azul ataca primeiro",'8.MotorCalc'!$I$33,MAX(0,O13-MAX(0,'8.MotorCalc'!$I$52-'8.MotorCalc'!$I$28)/MAX(0.001,'4.Parâmetros_Verm'!$J$43*'7.Config'!$C$17))))</f>
        <v>2</v>
      </c>
      <c r="P14" s="75">
        <f>C14+D14+E14+F14+G14+H14+I14</f>
        <v>17.717848667859499</v>
      </c>
      <c r="Q14" s="76">
        <f>K14+L14+M14+N14+O14</f>
        <v>14.662847341584557</v>
      </c>
      <c r="R14" s="81" t="str">
        <f>IF(AND((C14+D14+E14)&lt;0.5,(K14+L14)&lt;0.5),"DESTRUIÇÃO NAVAL MÚTUA",IF((C14+D14+E14)&lt;0.5,"DERROTA AZUL",IF((K14+L14)&lt;0.5,"VITÓRIA AZUL","EM CURSO")))&amp;" ["&amp;'7.Config'!$C5&amp;"]"</f>
        <v>EM CURSO [Simultâneo]</v>
      </c>
    </row>
    <row r="15" spans="2:18" ht="15.75" customHeight="1" x14ac:dyDescent="0.2">
      <c r="B15" s="78">
        <v>8</v>
      </c>
      <c r="C15" s="79">
        <f>IF('7.Config'!$C5="Simultâneo",MAX(0,C14-MAX(0,'8.MotorCalc'!$J$5-'8.MotorCalc'!$J$12)/MAX(0.001,'3.Parâmetros_Azul'!$J$7*'7.Config'!$C$18)),IF('7.Config'!$C5="Azul ataca primeiro",MAX(0,C14-MAX(0,'8.MotorCalc'!$J$41-'8.MotorCalc'!$J$12)/MAX(0.001,'3.Parâmetros_Azul'!$J$7*'7.Config'!$C$18)),'8.MotorCalc'!$J$34))</f>
        <v>1.8800145263086177</v>
      </c>
      <c r="D15" s="79">
        <f>IF('7.Config'!$C5="Simultâneo",MAX(0,D14-MAX(0,'8.MotorCalc'!$J$6-'8.MotorCalc'!$J$13)/MAX(0.001,'3.Parâmetros_Azul'!$J$14*'7.Config'!$C$18)),IF('7.Config'!$C5="Azul ataca primeiro",MAX(0,D14-MAX(0,'8.MotorCalc'!$J$42-'8.MotorCalc'!$J$13)/MAX(0.001,'3.Parâmetros_Azul'!$J$14*'7.Config'!$C$18)),'8.MotorCalc'!$J$35))</f>
        <v>1.8800145263086177</v>
      </c>
      <c r="E15" s="79">
        <f>IF('7.Config'!$C5="Simultâneo",MAX(0,E14-MAX(0,'8.MotorCalc'!$J$7-'8.MotorCalc'!$J$14)/MAX(0.001,'3.Parâmetros_Azul'!$J$21*'7.Config'!$C$20)),IF('7.Config'!$C5="Azul ataca primeiro",MAX(0,E14-MAX(0,'8.MotorCalc'!$J$43-'8.MotorCalc'!$J$14)/MAX(0.001,'3.Parâmetros_Azul'!$J$21*'7.Config'!$C$20)),'8.MotorCalc'!$J$36))</f>
        <v>0.99491540440394277</v>
      </c>
      <c r="F15" s="79">
        <f>IF('7.Config'!$C5="Simultâneo",MAX(0,F14-MAX(0,'8.MotorCalc'!$J$8-'8.MotorCalc'!$J$15)/MAX(0.001,'3.Parâmetros_Azul'!$J$28*'7.Config'!$C$17)),IF('7.Config'!$C5="Azul ataca primeiro",MAX(0,F14-MAX(0,'8.MotorCalc'!$J$44-'8.MotorCalc'!$J$15)/MAX(0.001,'3.Parâmetros_Azul'!$J$28*'7.Config'!$C$17)),'8.MotorCalc'!$J$37))</f>
        <v>3</v>
      </c>
      <c r="G15" s="79">
        <f>IF('7.Config'!$C5="Simultâneo",MAX(0,G14-MAX(0,'8.MotorCalc'!$J$9-'8.MotorCalc'!$J$16)/MAX(0.001,'3.Parâmetros_Azul'!$J$35*'7.Config'!$C$17)),IF('7.Config'!$C5="Azul ataca primeiro",MAX(0,G14-MAX(0,'8.MotorCalc'!$J$45-'8.MotorCalc'!$J$16)/MAX(0.001,'3.Parâmetros_Azul'!$J$35*'7.Config'!$C$17)),'8.MotorCalc'!$J$38))</f>
        <v>2</v>
      </c>
      <c r="H15" s="79">
        <f>IF('7.Config'!$C5="Simultâneo",MAX(0,H14-MAX(0,'8.MotorCalc'!$J$10-'8.MotorCalc'!$J$17)/MAX(0.001,'3.Parâmetros_Azul'!$J$42*'7.Config'!$C$19)),IF('7.Config'!$C5="Azul ataca primeiro",MAX(0,H14-MAX(0,'8.MotorCalc'!$J$46-'8.MotorCalc'!$J$17)/MAX(0.001,'3.Parâmetros_Azul'!$J$42*'7.Config'!$C$19)),'8.MotorCalc'!$J$39))</f>
        <v>5.999690918960197</v>
      </c>
      <c r="I15" s="79">
        <f>IF('7.Config'!$C5="Simultâneo",MAX(0,I14-MAX(0,'8.MotorCalc'!$J$11-'8.MotorCalc'!$J$18)/MAX(0.001,'3.Parâmetros_Azul'!$J$49*'7.Config'!$C$19)),IF('7.Config'!$C5="Azul ataca primeiro",MAX(0,I14-MAX(0,'8.MotorCalc'!$J$47-'8.MotorCalc'!$J$18)/MAX(0.001,'3.Parâmetros_Azul'!$J$49*'7.Config'!$C$19)),'8.MotorCalc'!$J$40))</f>
        <v>1.9230068750026335</v>
      </c>
      <c r="K15" s="80">
        <f>IF('7.Config'!$C5="Simultâneo",MAX(0,K14-MAX(0,'8.MotorCalc'!$J$19-'8.MotorCalc'!$J$24)/MAX(0.001,'4.Parâmetros_Verm'!$J$7*'7.Config'!$C$18)),IF('7.Config'!$C5="Azul ataca primeiro",'8.MotorCalc'!$J$29,MAX(0,K14-MAX(0,'8.MotorCalc'!$J$48-'8.MotorCalc'!$J$24)/MAX(0.001,'4.Parâmetros_Verm'!$J$7*'7.Config'!$C$18))))</f>
        <v>1.8067000425118129</v>
      </c>
      <c r="L15" s="80">
        <f>IF('7.Config'!$C5="Simultâneo",MAX(0,L14-MAX(0,'8.MotorCalc'!$J$20-'8.MotorCalc'!$J$25)/MAX(0.001,'4.Parâmetros_Verm'!$J$16*'7.Config'!$C$18)),IF('7.Config'!$C5="Azul ataca primeiro",'8.MotorCalc'!$J$30,MAX(0,L14-MAX(0,'8.MotorCalc'!$J$49-'8.MotorCalc'!$J$25)/MAX(0.001,'4.Parâmetros_Verm'!$J$16*'7.Config'!$C$18))))</f>
        <v>1.8067000425118129</v>
      </c>
      <c r="M15" s="80">
        <f>IF('7.Config'!$C5="Simultâneo",MAX(0,M14-MAX(0,'8.MotorCalc'!$J$21-'8.MotorCalc'!$J$26)/MAX(0.001,'4.Parâmetros_Verm'!$J$25*'7.Config'!$C$17)),IF('7.Config'!$C5="Azul ataca primeiro",'8.MotorCalc'!$J$31,MAX(0,M14-MAX(0,'8.MotorCalc'!$J$50-'8.MotorCalc'!$J$26)/MAX(0.001,'4.Parâmetros_Verm'!$J$25*'7.Config'!$C$17))))</f>
        <v>6</v>
      </c>
      <c r="N15" s="80">
        <f>IF('7.Config'!$C5="Simultâneo",MAX(0,N14-MAX(0,'8.MotorCalc'!$J$22-'8.MotorCalc'!$J$27)/MAX(0.001,'4.Parâmetros_Verm'!$J$34*'7.Config'!$C$17)),IF('7.Config'!$C5="Azul ataca primeiro",'8.MotorCalc'!$J$32,MAX(0,N14-MAX(0,'8.MotorCalc'!$J$51-'8.MotorCalc'!$J$27)/MAX(0.001,'4.Parâmetros_Verm'!$J$34*'7.Config'!$C$17))))</f>
        <v>3</v>
      </c>
      <c r="O15" s="80">
        <f>IF('7.Config'!$C5="Simultâneo",MAX(0,O14-MAX(0,'8.MotorCalc'!$J$23-'8.MotorCalc'!$J$28)/MAX(0.001,'4.Parâmetros_Verm'!$J$43*'7.Config'!$C$17)),IF('7.Config'!$C5="Azul ataca primeiro",'8.MotorCalc'!$J$33,MAX(0,O14-MAX(0,'8.MotorCalc'!$J$52-'8.MotorCalc'!$J$28)/MAX(0.001,'4.Parâmetros_Verm'!$J$43*'7.Config'!$C$17))))</f>
        <v>2</v>
      </c>
      <c r="P15" s="75">
        <f>C15+D15+E15+F15+G15+H15+I15</f>
        <v>17.677642250984011</v>
      </c>
      <c r="Q15" s="76">
        <f>K15+L15+M15+N15+O15</f>
        <v>14.613400085023626</v>
      </c>
      <c r="R15" s="81" t="str">
        <f>IF(AND((C15+D15+E15)&lt;0.5,(K15+L15)&lt;0.5),"DESTRUIÇÃO NAVAL MÚTUA",IF((C15+D15+E15)&lt;0.5,"DERROTA AZUL",IF((K15+L15)&lt;0.5,"VITÓRIA AZUL","EM CURSO")))&amp;" ["&amp;'7.Config'!$C5&amp;"]"</f>
        <v>EM CURSO [Simultâneo]</v>
      </c>
    </row>
    <row r="16" spans="2:18" ht="15.75" customHeight="1" x14ac:dyDescent="0.2">
      <c r="B16" s="78">
        <v>9</v>
      </c>
      <c r="C16" s="79">
        <f>IF('7.Config'!$C5="Simultâneo",MAX(0,C15-MAX(0,'8.MotorCalc'!$K$5-'8.MotorCalc'!$K$12)/MAX(0.001,'3.Parâmetros_Azul'!$J$7*'7.Config'!$C$18)),IF('7.Config'!$C5="Azul ataca primeiro",MAX(0,C15-MAX(0,'8.MotorCalc'!$K$41-'8.MotorCalc'!$K$12)/MAX(0.001,'3.Parâmetros_Azul'!$J$7*'7.Config'!$C$18)),'8.MotorCalc'!$K$34))</f>
        <v>1.864960282374365</v>
      </c>
      <c r="D16" s="79">
        <f>IF('7.Config'!$C5="Simultâneo",MAX(0,D15-MAX(0,'8.MotorCalc'!$K$6-'8.MotorCalc'!$K$13)/MAX(0.001,'3.Parâmetros_Azul'!$J$14*'7.Config'!$C$18)),IF('7.Config'!$C5="Azul ataca primeiro",MAX(0,D15-MAX(0,'8.MotorCalc'!$K$42-'8.MotorCalc'!$K$13)/MAX(0.001,'3.Parâmetros_Azul'!$J$14*'7.Config'!$C$18)),'8.MotorCalc'!$K$35))</f>
        <v>1.864960282374365</v>
      </c>
      <c r="E16" s="79">
        <f>IF('7.Config'!$C5="Simultâneo",MAX(0,E15-MAX(0,'8.MotorCalc'!$K$7-'8.MotorCalc'!$K$14)/MAX(0.001,'3.Parâmetros_Azul'!$J$21*'7.Config'!$C$20)),IF('7.Config'!$C5="Azul ataca primeiro",MAX(0,E15-MAX(0,'8.MotorCalc'!$K$43-'8.MotorCalc'!$K$14)/MAX(0.001,'3.Parâmetros_Azul'!$J$21*'7.Config'!$C$20)),'8.MotorCalc'!$K$36))</f>
        <v>0.99431342747188722</v>
      </c>
      <c r="F16" s="79">
        <f>IF('7.Config'!$C5="Simultâneo",MAX(0,F15-MAX(0,'8.MotorCalc'!$K$8-'8.MotorCalc'!$K$15)/MAX(0.001,'3.Parâmetros_Azul'!$J$28*'7.Config'!$C$17)),IF('7.Config'!$C5="Azul ataca primeiro",MAX(0,F15-MAX(0,'8.MotorCalc'!$K$44-'8.MotorCalc'!$K$15)/MAX(0.001,'3.Parâmetros_Azul'!$J$28*'7.Config'!$C$17)),'8.MotorCalc'!$K$37))</f>
        <v>3</v>
      </c>
      <c r="G16" s="79">
        <f>IF('7.Config'!$C5="Simultâneo",MAX(0,G15-MAX(0,'8.MotorCalc'!$K$9-'8.MotorCalc'!$K$16)/MAX(0.001,'3.Parâmetros_Azul'!$J$35*'7.Config'!$C$17)),IF('7.Config'!$C5="Azul ataca primeiro",MAX(0,G15-MAX(0,'8.MotorCalc'!$K$45-'8.MotorCalc'!$K$16)/MAX(0.001,'3.Parâmetros_Azul'!$J$35*'7.Config'!$C$17)),'8.MotorCalc'!$K$38))</f>
        <v>2</v>
      </c>
      <c r="H16" s="79">
        <f>IF('7.Config'!$C5="Simultâneo",MAX(0,H15-MAX(0,'8.MotorCalc'!$K$10-'8.MotorCalc'!$K$17)/MAX(0.001,'3.Parâmetros_Azul'!$J$42*'7.Config'!$C$19)),IF('7.Config'!$C5="Azul ataca primeiro",MAX(0,H15-MAX(0,'8.MotorCalc'!$K$46-'8.MotorCalc'!$K$17)/MAX(0.001,'3.Parâmetros_Azul'!$J$42*'7.Config'!$C$19)),'8.MotorCalc'!$K$39))</f>
        <v>5.999690918960197</v>
      </c>
      <c r="I16" s="79">
        <f>IF('7.Config'!$C5="Simultâneo",MAX(0,I15-MAX(0,'8.MotorCalc'!$K$11-'8.MotorCalc'!$K$18)/MAX(0.001,'3.Parâmetros_Azul'!$J$49*'7.Config'!$C$19)),IF('7.Config'!$C5="Azul ataca primeiro",MAX(0,I15-MAX(0,'8.MotorCalc'!$K$47-'8.MotorCalc'!$K$18)/MAX(0.001,'3.Parâmetros_Azul'!$J$49*'7.Config'!$C$19)),'8.MotorCalc'!$K$40))</f>
        <v>1.9135308818474872</v>
      </c>
      <c r="K16" s="80">
        <f>IF('7.Config'!$C5="Simultâneo",MAX(0,K15-MAX(0,'8.MotorCalc'!$K$19-'8.MotorCalc'!$K$24)/MAX(0.001,'4.Parâmetros_Verm'!$J$7*'7.Config'!$C$18)),IF('7.Config'!$C5="Azul ataca primeiro",'8.MotorCalc'!$K$29,MAX(0,K15-MAX(0,'8.MotorCalc'!$K$48-'8.MotorCalc'!$K$24)/MAX(0.001,'4.Parâmetros_Verm'!$J$7*'7.Config'!$C$18))))</f>
        <v>1.7818106354024383</v>
      </c>
      <c r="L16" s="80">
        <f>IF('7.Config'!$C5="Simultâneo",MAX(0,L15-MAX(0,'8.MotorCalc'!$K$20-'8.MotorCalc'!$K$25)/MAX(0.001,'4.Parâmetros_Verm'!$J$16*'7.Config'!$C$18)),IF('7.Config'!$C5="Azul ataca primeiro",'8.MotorCalc'!$K$30,MAX(0,L15-MAX(0,'8.MotorCalc'!$K$49-'8.MotorCalc'!$K$25)/MAX(0.001,'4.Parâmetros_Verm'!$J$16*'7.Config'!$C$18))))</f>
        <v>1.7818106354024383</v>
      </c>
      <c r="M16" s="80">
        <f>IF('7.Config'!$C5="Simultâneo",MAX(0,M15-MAX(0,'8.MotorCalc'!$K$21-'8.MotorCalc'!$K$26)/MAX(0.001,'4.Parâmetros_Verm'!$J$25*'7.Config'!$C$17)),IF('7.Config'!$C5="Azul ataca primeiro",'8.MotorCalc'!$K$31,MAX(0,M15-MAX(0,'8.MotorCalc'!$K$50-'8.MotorCalc'!$K$26)/MAX(0.001,'4.Parâmetros_Verm'!$J$25*'7.Config'!$C$17))))</f>
        <v>6</v>
      </c>
      <c r="N16" s="80">
        <f>IF('7.Config'!$C5="Simultâneo",MAX(0,N15-MAX(0,'8.MotorCalc'!$K$22-'8.MotorCalc'!$K$27)/MAX(0.001,'4.Parâmetros_Verm'!$J$34*'7.Config'!$C$17)),IF('7.Config'!$C5="Azul ataca primeiro",'8.MotorCalc'!$K$32,MAX(0,N15-MAX(0,'8.MotorCalc'!$K$51-'8.MotorCalc'!$K$27)/MAX(0.001,'4.Parâmetros_Verm'!$J$34*'7.Config'!$C$17))))</f>
        <v>3</v>
      </c>
      <c r="O16" s="80">
        <f>IF('7.Config'!$C5="Simultâneo",MAX(0,O15-MAX(0,'8.MotorCalc'!$K$23-'8.MotorCalc'!$K$28)/MAX(0.001,'4.Parâmetros_Verm'!$J$43*'7.Config'!$C$17)),IF('7.Config'!$C5="Azul ataca primeiro",'8.MotorCalc'!$K$33,MAX(0,O15-MAX(0,'8.MotorCalc'!$K$52-'8.MotorCalc'!$K$28)/MAX(0.001,'4.Parâmetros_Verm'!$J$43*'7.Config'!$C$17))))</f>
        <v>2</v>
      </c>
      <c r="P16" s="75">
        <f>C16+D16+E16+F16+G16+H16+I16</f>
        <v>17.637455793028302</v>
      </c>
      <c r="Q16" s="76">
        <f>K16+L16+M16+N16+O16</f>
        <v>14.563621270804877</v>
      </c>
      <c r="R16" s="81" t="str">
        <f>IF(AND((C16+D16+E16)&lt;0.5,(K16+L16)&lt;0.5),"DESTRUIÇÃO NAVAL MÚTUA",IF((C16+D16+E16)&lt;0.5,"DERROTA AZUL",IF((K16+L16)&lt;0.5,"VITÓRIA AZUL","EM CURSO")))&amp;" ["&amp;'7.Config'!$C5&amp;"]"</f>
        <v>EM CURSO [Simultâneo]</v>
      </c>
    </row>
    <row r="17" spans="2:18" ht="15.75" customHeight="1" x14ac:dyDescent="0.2">
      <c r="B17" s="78">
        <v>10</v>
      </c>
      <c r="C17" s="79">
        <f>IF('7.Config'!$C5="Simultâneo",MAX(0,C16-MAX(0,'8.MotorCalc'!$L$5-'8.MotorCalc'!$L$12)/MAX(0.001,'3.Parâmetros_Azul'!$J$7*'7.Config'!$C$18)),IF('7.Config'!$C5="Azul ataca primeiro",MAX(0,C16-MAX(0,'8.MotorCalc'!$L$41-'8.MotorCalc'!$L$12)/MAX(0.001,'3.Parâmetros_Azul'!$J$7*'7.Config'!$C$18)),'8.MotorCalc'!$L$34))</f>
        <v>1.8498959791923175</v>
      </c>
      <c r="D17" s="79">
        <f>IF('7.Config'!$C5="Simultâneo",MAX(0,D16-MAX(0,'8.MotorCalc'!$L$6-'8.MotorCalc'!$L$13)/MAX(0.001,'3.Parâmetros_Azul'!$J$14*'7.Config'!$C$18)),IF('7.Config'!$C5="Azul ataca primeiro",MAX(0,D16-MAX(0,'8.MotorCalc'!$L$42-'8.MotorCalc'!$L$13)/MAX(0.001,'3.Parâmetros_Azul'!$J$14*'7.Config'!$C$18)),'8.MotorCalc'!$L$35))</f>
        <v>1.8498959791923175</v>
      </c>
      <c r="E17" s="79">
        <f>IF('7.Config'!$C5="Simultâneo",MAX(0,E16-MAX(0,'8.MotorCalc'!$L$7-'8.MotorCalc'!$L$14)/MAX(0.001,'3.Parâmetros_Azul'!$J$21*'7.Config'!$C$20)),IF('7.Config'!$C5="Azul ataca primeiro",MAX(0,E16-MAX(0,'8.MotorCalc'!$L$43-'8.MotorCalc'!$L$14)/MAX(0.001,'3.Parâmetros_Azul'!$J$21*'7.Config'!$C$20)),'8.MotorCalc'!$L$36))</f>
        <v>0.99371911401676261</v>
      </c>
      <c r="F17" s="79">
        <f>IF('7.Config'!$C5="Simultâneo",MAX(0,F16-MAX(0,'8.MotorCalc'!$L$8-'8.MotorCalc'!$L$15)/MAX(0.001,'3.Parâmetros_Azul'!$J$28*'7.Config'!$C$17)),IF('7.Config'!$C5="Azul ataca primeiro",MAX(0,F16-MAX(0,'8.MotorCalc'!$L$44-'8.MotorCalc'!$L$15)/MAX(0.001,'3.Parâmetros_Azul'!$J$28*'7.Config'!$C$17)),'8.MotorCalc'!$L$37))</f>
        <v>3</v>
      </c>
      <c r="G17" s="79">
        <f>IF('7.Config'!$C5="Simultâneo",MAX(0,G16-MAX(0,'8.MotorCalc'!$L$9-'8.MotorCalc'!$L$16)/MAX(0.001,'3.Parâmetros_Azul'!$J$35*'7.Config'!$C$17)),IF('7.Config'!$C5="Azul ataca primeiro",MAX(0,G16-MAX(0,'8.MotorCalc'!$L$45-'8.MotorCalc'!$L$16)/MAX(0.001,'3.Parâmetros_Azul'!$J$35*'7.Config'!$C$17)),'8.MotorCalc'!$L$38))</f>
        <v>2</v>
      </c>
      <c r="H17" s="79">
        <f>IF('7.Config'!$C5="Simultâneo",MAX(0,H16-MAX(0,'8.MotorCalc'!$L$10-'8.MotorCalc'!$L$17)/MAX(0.001,'3.Parâmetros_Azul'!$J$42*'7.Config'!$C$19)),IF('7.Config'!$C5="Azul ataca primeiro",MAX(0,H16-MAX(0,'8.MotorCalc'!$L$46-'8.MotorCalc'!$L$17)/MAX(0.001,'3.Parâmetros_Azul'!$J$42*'7.Config'!$C$19)),'8.MotorCalc'!$L$39))</f>
        <v>5.999690918960197</v>
      </c>
      <c r="I17" s="79">
        <f>IF('7.Config'!$C5="Simultâneo",MAX(0,I16-MAX(0,'8.MotorCalc'!$L$11-'8.MotorCalc'!$L$18)/MAX(0.001,'3.Parâmetros_Azul'!$J$49*'7.Config'!$C$19)),IF('7.Config'!$C5="Azul ataca primeiro",MAX(0,I16-MAX(0,'8.MotorCalc'!$L$47-'8.MotorCalc'!$L$18)/MAX(0.001,'3.Parâmetros_Azul'!$J$49*'7.Config'!$C$19)),'8.MotorCalc'!$L$40))</f>
        <v>1.9040893190322126</v>
      </c>
      <c r="K17" s="80">
        <f>IF('7.Config'!$C5="Simultâneo",MAX(0,K16-MAX(0,'8.MotorCalc'!$L$19-'8.MotorCalc'!$L$24)/MAX(0.001,'4.Parâmetros_Verm'!$J$7*'7.Config'!$C$18)),IF('7.Config'!$C5="Azul ataca primeiro",'8.MotorCalc'!$L$29,MAX(0,K16-MAX(0,'8.MotorCalc'!$L$48-'8.MotorCalc'!$L$24)/MAX(0.001,'4.Parâmetros_Verm'!$J$7*'7.Config'!$C$18))))</f>
        <v>1.756753582113296</v>
      </c>
      <c r="L17" s="80">
        <f>IF('7.Config'!$C5="Simultâneo",MAX(0,L16-MAX(0,'8.MotorCalc'!$L$20-'8.MotorCalc'!$L$25)/MAX(0.001,'4.Parâmetros_Verm'!$J$16*'7.Config'!$C$18)),IF('7.Config'!$C5="Azul ataca primeiro",'8.MotorCalc'!$L$30,MAX(0,L16-MAX(0,'8.MotorCalc'!$L$49-'8.MotorCalc'!$L$25)/MAX(0.001,'4.Parâmetros_Verm'!$J$16*'7.Config'!$C$18))))</f>
        <v>1.756753582113296</v>
      </c>
      <c r="M17" s="80">
        <f>IF('7.Config'!$C5="Simultâneo",MAX(0,M16-MAX(0,'8.MotorCalc'!$L$21-'8.MotorCalc'!$L$26)/MAX(0.001,'4.Parâmetros_Verm'!$J$25*'7.Config'!$C$17)),IF('7.Config'!$C5="Azul ataca primeiro",'8.MotorCalc'!$L$31,MAX(0,M16-MAX(0,'8.MotorCalc'!$L$50-'8.MotorCalc'!$L$26)/MAX(0.001,'4.Parâmetros_Verm'!$J$25*'7.Config'!$C$17))))</f>
        <v>6</v>
      </c>
      <c r="N17" s="80">
        <f>IF('7.Config'!$C5="Simultâneo",MAX(0,N16-MAX(0,'8.MotorCalc'!$L$22-'8.MotorCalc'!$L$27)/MAX(0.001,'4.Parâmetros_Verm'!$J$34*'7.Config'!$C$17)),IF('7.Config'!$C5="Azul ataca primeiro",'8.MotorCalc'!$L$32,MAX(0,N16-MAX(0,'8.MotorCalc'!$L$51-'8.MotorCalc'!$L$27)/MAX(0.001,'4.Parâmetros_Verm'!$J$34*'7.Config'!$C$17))))</f>
        <v>3</v>
      </c>
      <c r="O17" s="80">
        <f>IF('7.Config'!$C5="Simultâneo",MAX(0,O16-MAX(0,'8.MotorCalc'!$L$23-'8.MotorCalc'!$L$28)/MAX(0.001,'4.Parâmetros_Verm'!$J$43*'7.Config'!$C$17)),IF('7.Config'!$C5="Azul ataca primeiro",'8.MotorCalc'!$L$33,MAX(0,O16-MAX(0,'8.MotorCalc'!$L$52-'8.MotorCalc'!$L$28)/MAX(0.001,'4.Parâmetros_Verm'!$J$43*'7.Config'!$C$17))))</f>
        <v>2</v>
      </c>
      <c r="P17" s="75">
        <f>C17+D17+E17+F17+G17+H17+I17</f>
        <v>17.597291310393807</v>
      </c>
      <c r="Q17" s="76">
        <f>K17+L17+M17+N17+O17</f>
        <v>14.513507164226592</v>
      </c>
      <c r="R17" s="81" t="str">
        <f>IF(AND((C17+D17+E17)&lt;0.5,(K17+L17)&lt;0.5),"DESTRUIÇÃO NAVAL MÚTUA",IF((C17+D17+E17)&lt;0.5,"DERROTA AZUL",IF((K17+L17)&lt;0.5,"VITÓRIA AZUL","EM CURSO")))&amp;" ["&amp;'7.Config'!$C5&amp;"]"</f>
        <v>EM CURSO [Simultâneo]</v>
      </c>
    </row>
  </sheetData>
  <sheetProtection sheet="1" objects="1" scenarios="1"/>
  <mergeCells count="4">
    <mergeCell ref="B2:R2"/>
    <mergeCell ref="B3:R3"/>
    <mergeCell ref="C5:I5"/>
    <mergeCell ref="K5:O5"/>
  </mergeCells>
  <conditionalFormatting sqref="R8:R17">
    <cfRule type="expression" dxfId="1" priority="2">
      <formula>ISNUMBER(SEARCH("VITÓRIA AZUL",R8))</formula>
    </cfRule>
    <cfRule type="expression" dxfId="0" priority="3">
      <formula>ISNUMBER(SEARCH("DERROTA AZUL",R8))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30"/>
  <sheetViews>
    <sheetView showGridLines="0" zoomScaleNormal="100" workbookViewId="0"/>
  </sheetViews>
  <sheetFormatPr defaultColWidth="8.7421875" defaultRowHeight="15" x14ac:dyDescent="0.2"/>
  <cols>
    <col min="1" max="1" width="2.015625" style="15" customWidth="1"/>
    <col min="2" max="2" width="32.015625" style="15" customWidth="1"/>
    <col min="3" max="4" width="13.98828125" style="15" customWidth="1"/>
    <col min="5" max="5" width="4.03515625" style="15" customWidth="1"/>
    <col min="6" max="6" width="29.99609375" style="15" customWidth="1"/>
    <col min="7" max="7" width="16.0078125" style="15" customWidth="1"/>
  </cols>
  <sheetData>
    <row r="2" spans="2:7" ht="19.5" customHeight="1" x14ac:dyDescent="0.2">
      <c r="B2" s="6" t="s">
        <v>221</v>
      </c>
      <c r="C2" s="6"/>
      <c r="D2" s="6"/>
      <c r="E2" s="6"/>
      <c r="F2" s="6"/>
      <c r="G2" s="6"/>
    </row>
    <row r="3" spans="2:7" ht="31.5" customHeight="1" x14ac:dyDescent="0.2">
      <c r="B3" s="97" t="s">
        <v>222</v>
      </c>
      <c r="C3" s="97"/>
      <c r="D3" s="97"/>
      <c r="E3" s="97"/>
      <c r="F3" s="97"/>
      <c r="G3" s="97"/>
    </row>
    <row r="5" spans="2:7" ht="19.5" customHeight="1" x14ac:dyDescent="0.2">
      <c r="B5" s="5" t="s">
        <v>223</v>
      </c>
      <c r="C5" s="5"/>
      <c r="D5" s="5"/>
      <c r="E5" s="5"/>
      <c r="F5" s="5"/>
      <c r="G5" s="5"/>
    </row>
    <row r="6" spans="2:7" x14ac:dyDescent="0.2">
      <c r="B6" s="32" t="s">
        <v>175</v>
      </c>
      <c r="C6" s="32" t="s">
        <v>224</v>
      </c>
      <c r="D6" s="32" t="s">
        <v>225</v>
      </c>
      <c r="F6" s="32" t="s">
        <v>226</v>
      </c>
      <c r="G6" s="32" t="s">
        <v>227</v>
      </c>
    </row>
    <row r="7" spans="2:7" x14ac:dyDescent="0.2">
      <c r="B7" s="55" t="s">
        <v>228</v>
      </c>
      <c r="C7" s="79">
        <f>'9.Simulação'!C7+'9.Simulação'!D7+'9.Simulação'!E7</f>
        <v>5</v>
      </c>
      <c r="D7" s="82">
        <f>'9.Simulação'!C17+'9.Simulação'!D17+'9.Simulação'!E17</f>
        <v>4.6935110724013978</v>
      </c>
      <c r="F7" s="55" t="s">
        <v>229</v>
      </c>
      <c r="G7" s="83">
        <f>IFERROR(1-('9.Simulação'!C17+'9.Simulação'!D17+'9.Simulação'!E17)/MAX(0.001,('9.Simulação'!C7+'9.Simulação'!D7+'9.Simulação'!E7)),0)</f>
        <v>6.1297785519720427E-2</v>
      </c>
    </row>
    <row r="8" spans="2:7" x14ac:dyDescent="0.2">
      <c r="B8" s="56" t="s">
        <v>230</v>
      </c>
      <c r="C8" s="80">
        <f>'9.Simulação'!K7+'9.Simulação'!L7</f>
        <v>4</v>
      </c>
      <c r="D8" s="82">
        <f>'9.Simulação'!K17+'9.Simulação'!L17</f>
        <v>3.513507164226592</v>
      </c>
      <c r="F8" s="56" t="s">
        <v>231</v>
      </c>
      <c r="G8" s="83">
        <f>IFERROR(1-('9.Simulação'!K17+'9.Simulação'!L17)/MAX(0.001,('9.Simulação'!K7+'9.Simulação'!L7)),0)</f>
        <v>0.12162320894335199</v>
      </c>
    </row>
    <row r="9" spans="2:7" x14ac:dyDescent="0.2">
      <c r="F9" s="84" t="s">
        <v>232</v>
      </c>
      <c r="G9" s="85" t="str">
        <f>ROUND('9.Simulação'!H17,1) &amp; " / " &amp; '9.Simulação'!H7</f>
        <v>6 / 6</v>
      </c>
    </row>
    <row r="10" spans="2:7" x14ac:dyDescent="0.2">
      <c r="F10" s="86" t="s">
        <v>233</v>
      </c>
      <c r="G10" s="87" t="str">
        <f>'7.Config'!$C5</f>
        <v>Simultâneo</v>
      </c>
    </row>
    <row r="12" spans="2:7" ht="43.5" customHeight="1" x14ac:dyDescent="0.2">
      <c r="B12" s="102" t="str">
        <f>IF(AND(('9.Simulação'!C17+'9.Simulação'!D17+'9.Simulação'!E17)&lt;0.5,('9.Simulação'!K17+'9.Simulação'!L17)&lt;0.5),"DESTRUIÇÃO NAVAL MÚTUA — perda total de combatividade",IF(('9.Simulação'!C17+'9.Simulação'!D17+'9.Simulação'!E17)&lt;0.5,"DERROTA AZUL — esquadra neutralizada, defesa do Pré-Sal comprometida",IF(('9.Simulação'!K17+'9.Simulação'!L17)&lt;0.5,"VITÓRIA AZUL — ameaça naval neutralizada",IF(('9.Simulação'!C17+'9.Simulação'!D17+'9.Simulação'!E17)/MAX(0.001,('9.Simulação'!C7+'9.Simulação'!D7+'9.Simulação'!E7))&lt;0.3,"VANTAGEM VERMELHA — esquadra Azul severamente atritada",IF(('9.Simulação'!K17+'9.Simulação'!L17)/MAX(0.001,('9.Simulação'!K7+'9.Simulação'!L7))&lt;0.3,"VANTAGEM AZUL — esquadra Vermelha severamente atritada","ENGAJAMENTO INCONCLUSO — ambas as esquadras mantêm combatividade")))))&amp;"  |  Modo: "&amp;'7.Config'!$C5</f>
        <v>ENGAJAMENTO INCONCLUSO — ambas as esquadras mantêm combatividade  |  Modo: Simultâneo</v>
      </c>
      <c r="C12" s="102"/>
      <c r="D12" s="102"/>
      <c r="E12" s="102"/>
      <c r="F12" s="102"/>
      <c r="G12" s="102"/>
    </row>
    <row r="14" spans="2:7" ht="19.5" customHeight="1" x14ac:dyDescent="0.2">
      <c r="B14" s="98" t="s">
        <v>234</v>
      </c>
      <c r="C14" s="98"/>
      <c r="D14" s="98"/>
      <c r="E14" s="98"/>
      <c r="F14" s="98"/>
      <c r="G14" s="98"/>
    </row>
    <row r="15" spans="2:7" x14ac:dyDescent="0.2">
      <c r="B15" s="32" t="s">
        <v>175</v>
      </c>
      <c r="C15" s="32" t="s">
        <v>235</v>
      </c>
      <c r="D15" s="32" t="s">
        <v>236</v>
      </c>
      <c r="F15" s="32" t="s">
        <v>237</v>
      </c>
      <c r="G15" s="32" t="s">
        <v>227</v>
      </c>
    </row>
    <row r="16" spans="2:7" x14ac:dyDescent="0.2">
      <c r="B16" s="55" t="s">
        <v>238</v>
      </c>
      <c r="C16" s="79">
        <f>'9.Simulação'!F7+'9.Simulação'!G7+'9.Simulação'!H7+'9.Simulação'!I7</f>
        <v>13</v>
      </c>
      <c r="D16" s="79">
        <f>'9.Simulação'!F17+'9.Simulação'!G17+'9.Simulação'!H17+'9.Simulação'!I17</f>
        <v>12.903780237992411</v>
      </c>
      <c r="F16" s="55" t="s">
        <v>239</v>
      </c>
      <c r="G16" s="88">
        <f>IFERROR(1-('9.Simulação'!F17+'9.Simulação'!G17+'9.Simulação'!H17+'9.Simulação'!I17)/MAX(0.001,('9.Simulação'!F7+'9.Simulação'!G7+'9.Simulação'!H7+'9.Simulação'!I7)),0)</f>
        <v>7.4015201544299636E-3</v>
      </c>
    </row>
    <row r="17" spans="2:7" x14ac:dyDescent="0.2">
      <c r="B17" s="56" t="s">
        <v>240</v>
      </c>
      <c r="C17" s="80">
        <f>'9.Simulação'!M7+'9.Simulação'!N7+'9.Simulação'!O7</f>
        <v>11</v>
      </c>
      <c r="D17" s="80">
        <f>'9.Simulação'!M17+'9.Simulação'!N17+'9.Simulação'!O17</f>
        <v>11</v>
      </c>
      <c r="F17" s="56" t="s">
        <v>241</v>
      </c>
      <c r="G17" s="89">
        <f>IFERROR(1-('9.Simulação'!M17+'9.Simulação'!N17+'9.Simulação'!O17)/MAX(0.001,('9.Simulação'!M7+'9.Simulação'!N7+'9.Simulação'!O7)),0)</f>
        <v>0</v>
      </c>
    </row>
    <row r="19" spans="2:7" ht="19.5" customHeight="1" x14ac:dyDescent="0.2">
      <c r="B19" s="9" t="s">
        <v>242</v>
      </c>
      <c r="C19" s="9"/>
      <c r="D19" s="9"/>
      <c r="E19" s="9"/>
      <c r="F19" s="9"/>
      <c r="G19" s="9"/>
    </row>
    <row r="20" spans="2:7" x14ac:dyDescent="0.2">
      <c r="B20" s="32" t="s">
        <v>243</v>
      </c>
      <c r="C20" s="32" t="s">
        <v>244</v>
      </c>
      <c r="D20" s="32" t="s">
        <v>245</v>
      </c>
      <c r="F20" s="32" t="s">
        <v>246</v>
      </c>
      <c r="G20" s="32" t="s">
        <v>245</v>
      </c>
    </row>
    <row r="21" spans="2:7" x14ac:dyDescent="0.2">
      <c r="B21" s="90" t="s">
        <v>79</v>
      </c>
      <c r="C21" s="79">
        <f>'9.Simulação'!C7</f>
        <v>2</v>
      </c>
      <c r="D21" s="73">
        <f>'9.Simulação'!C17</f>
        <v>1.8498959791923175</v>
      </c>
      <c r="F21" s="90" t="s">
        <v>81</v>
      </c>
      <c r="G21" s="74">
        <f>'9.Simulação'!K17</f>
        <v>1.756753582113296</v>
      </c>
    </row>
    <row r="22" spans="2:7" x14ac:dyDescent="0.2">
      <c r="B22" s="90" t="s">
        <v>82</v>
      </c>
      <c r="C22" s="79">
        <f>'9.Simulação'!D7</f>
        <v>2</v>
      </c>
      <c r="D22" s="73">
        <f>'9.Simulação'!D17</f>
        <v>1.8498959791923175</v>
      </c>
      <c r="F22" s="90" t="s">
        <v>83</v>
      </c>
      <c r="G22" s="74">
        <f>'9.Simulação'!L17</f>
        <v>1.756753582113296</v>
      </c>
    </row>
    <row r="23" spans="2:7" x14ac:dyDescent="0.2">
      <c r="B23" s="91" t="s">
        <v>84</v>
      </c>
      <c r="C23" s="79">
        <f>'9.Simulação'!E7</f>
        <v>1</v>
      </c>
      <c r="D23" s="73">
        <f>'9.Simulação'!E17</f>
        <v>0.99371911401676261</v>
      </c>
      <c r="F23" s="92" t="s">
        <v>86</v>
      </c>
      <c r="G23" s="74">
        <f>'9.Simulação'!M17</f>
        <v>6</v>
      </c>
    </row>
    <row r="24" spans="2:7" x14ac:dyDescent="0.2">
      <c r="B24" s="92" t="s">
        <v>88</v>
      </c>
      <c r="C24" s="79">
        <f>'9.Simulação'!F7</f>
        <v>3</v>
      </c>
      <c r="D24" s="73">
        <f>'9.Simulação'!F17</f>
        <v>3</v>
      </c>
      <c r="F24" s="92" t="s">
        <v>89</v>
      </c>
      <c r="G24" s="74">
        <f>'9.Simulação'!N17</f>
        <v>3</v>
      </c>
    </row>
    <row r="25" spans="2:7" x14ac:dyDescent="0.2">
      <c r="B25" s="92" t="s">
        <v>90</v>
      </c>
      <c r="C25" s="79">
        <f>'9.Simulação'!G7</f>
        <v>2</v>
      </c>
      <c r="D25" s="73">
        <f>'9.Simulação'!G17</f>
        <v>2</v>
      </c>
      <c r="F25" s="92" t="s">
        <v>91</v>
      </c>
      <c r="G25" s="74">
        <f>'9.Simulação'!O17</f>
        <v>2</v>
      </c>
    </row>
    <row r="26" spans="2:7" x14ac:dyDescent="0.2">
      <c r="B26" s="93" t="s">
        <v>92</v>
      </c>
      <c r="C26" s="79">
        <f>'9.Simulação'!H7</f>
        <v>6</v>
      </c>
      <c r="D26" s="73">
        <f>'9.Simulação'!H17</f>
        <v>5.999690918960197</v>
      </c>
    </row>
    <row r="27" spans="2:7" x14ac:dyDescent="0.2">
      <c r="B27" s="93" t="s">
        <v>94</v>
      </c>
      <c r="C27" s="79">
        <f>'9.Simulação'!I7</f>
        <v>2</v>
      </c>
      <c r="D27" s="73">
        <f>'9.Simulação'!I17</f>
        <v>1.9040893190322126</v>
      </c>
    </row>
    <row r="30" spans="2:7" ht="19.5" customHeight="1" x14ac:dyDescent="0.2">
      <c r="B30" s="9" t="s">
        <v>247</v>
      </c>
      <c r="C30" s="9"/>
      <c r="D30" s="9"/>
      <c r="E30" s="9"/>
      <c r="F30" s="9"/>
      <c r="G30" s="9"/>
    </row>
  </sheetData>
  <sheetProtection sheet="1" objects="1" scenarios="1"/>
  <mergeCells count="7">
    <mergeCell ref="B19:G19"/>
    <mergeCell ref="B30:G30"/>
    <mergeCell ref="B2:G2"/>
    <mergeCell ref="B3:G3"/>
    <mergeCell ref="B5:G5"/>
    <mergeCell ref="B12:G12"/>
    <mergeCell ref="B14:G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1"/>
  <sheetViews>
    <sheetView zoomScaleNormal="100" workbookViewId="0">
      <selection activeCell="C5" sqref="C5"/>
    </sheetView>
  </sheetViews>
  <sheetFormatPr defaultColWidth="8.7421875" defaultRowHeight="15" x14ac:dyDescent="0.2"/>
  <cols>
    <col min="1" max="1" width="2.015625" style="15" customWidth="1"/>
    <col min="2" max="2" width="27.98046875" style="15" customWidth="1"/>
    <col min="3" max="3" width="71.96875" style="15" customWidth="1"/>
  </cols>
  <sheetData>
    <row r="2" spans="2:3" ht="27.75" customHeight="1" x14ac:dyDescent="0.2">
      <c r="B2" s="14" t="s">
        <v>0</v>
      </c>
      <c r="C2" s="14"/>
    </row>
    <row r="4" spans="2:3" x14ac:dyDescent="0.2">
      <c r="B4" s="13" t="s">
        <v>1</v>
      </c>
      <c r="C4" s="13"/>
    </row>
    <row r="5" spans="2:3" x14ac:dyDescent="0.2">
      <c r="B5" s="16" t="s">
        <v>2</v>
      </c>
      <c r="C5" s="17" t="s">
        <v>3</v>
      </c>
    </row>
    <row r="6" spans="2:3" x14ac:dyDescent="0.2">
      <c r="B6" s="16" t="s">
        <v>4</v>
      </c>
      <c r="C6" s="17" t="s">
        <v>5</v>
      </c>
    </row>
    <row r="7" spans="2:3" x14ac:dyDescent="0.2">
      <c r="B7" s="16" t="s">
        <v>6</v>
      </c>
      <c r="C7" s="17" t="s">
        <v>249</v>
      </c>
    </row>
    <row r="8" spans="2:3" x14ac:dyDescent="0.2">
      <c r="B8" s="16" t="s">
        <v>7</v>
      </c>
      <c r="C8" s="17" t="s">
        <v>8</v>
      </c>
    </row>
    <row r="9" spans="2:3" x14ac:dyDescent="0.2">
      <c r="B9" s="16" t="s">
        <v>9</v>
      </c>
      <c r="C9" s="17" t="s">
        <v>10</v>
      </c>
    </row>
    <row r="10" spans="2:3" x14ac:dyDescent="0.2">
      <c r="B10" s="16" t="s">
        <v>11</v>
      </c>
      <c r="C10" s="17" t="s">
        <v>12</v>
      </c>
    </row>
    <row r="11" spans="2:3" x14ac:dyDescent="0.2">
      <c r="B11" s="16" t="s">
        <v>13</v>
      </c>
      <c r="C11" s="103" t="s">
        <v>248</v>
      </c>
    </row>
    <row r="13" spans="2:3" x14ac:dyDescent="0.2">
      <c r="B13" s="13" t="s">
        <v>14</v>
      </c>
      <c r="C13" s="13"/>
    </row>
    <row r="14" spans="2:3" x14ac:dyDescent="0.2">
      <c r="B14" s="16" t="s">
        <v>15</v>
      </c>
      <c r="C14" s="18" t="s">
        <v>16</v>
      </c>
    </row>
    <row r="15" spans="2:3" x14ac:dyDescent="0.2">
      <c r="B15" s="16" t="s">
        <v>17</v>
      </c>
      <c r="C15" s="18" t="s">
        <v>18</v>
      </c>
    </row>
    <row r="16" spans="2:3" x14ac:dyDescent="0.2">
      <c r="B16" s="16" t="s">
        <v>19</v>
      </c>
      <c r="C16" s="18" t="s">
        <v>20</v>
      </c>
    </row>
    <row r="17" spans="2:3" x14ac:dyDescent="0.2">
      <c r="B17" s="16" t="s">
        <v>21</v>
      </c>
      <c r="C17" s="18" t="s">
        <v>22</v>
      </c>
    </row>
    <row r="18" spans="2:3" x14ac:dyDescent="0.2">
      <c r="B18" s="16" t="s">
        <v>23</v>
      </c>
      <c r="C18" s="18" t="s">
        <v>24</v>
      </c>
    </row>
    <row r="20" spans="2:3" x14ac:dyDescent="0.2">
      <c r="B20" s="13" t="s">
        <v>25</v>
      </c>
      <c r="C20" s="13"/>
    </row>
    <row r="21" spans="2:3" x14ac:dyDescent="0.2">
      <c r="B21" s="19" t="s">
        <v>26</v>
      </c>
      <c r="C21" s="19" t="s">
        <v>27</v>
      </c>
    </row>
    <row r="22" spans="2:3" x14ac:dyDescent="0.2">
      <c r="B22" s="20" t="s">
        <v>28</v>
      </c>
      <c r="C22" s="20">
        <v>0</v>
      </c>
    </row>
    <row r="23" spans="2:3" x14ac:dyDescent="0.2">
      <c r="B23" s="20" t="s">
        <v>29</v>
      </c>
      <c r="C23" s="20">
        <v>12</v>
      </c>
    </row>
    <row r="24" spans="2:3" x14ac:dyDescent="0.2">
      <c r="B24" s="20" t="s">
        <v>30</v>
      </c>
      <c r="C24" s="20">
        <v>245</v>
      </c>
    </row>
    <row r="25" spans="2:3" x14ac:dyDescent="0.2">
      <c r="B25" s="20" t="s">
        <v>31</v>
      </c>
      <c r="C25" s="20">
        <v>245</v>
      </c>
    </row>
    <row r="26" spans="2:3" x14ac:dyDescent="0.2">
      <c r="B26" s="20" t="s">
        <v>32</v>
      </c>
      <c r="C26" s="20">
        <v>140</v>
      </c>
    </row>
    <row r="27" spans="2:3" x14ac:dyDescent="0.2">
      <c r="B27" s="20" t="s">
        <v>33</v>
      </c>
      <c r="C27" s="20">
        <v>26</v>
      </c>
    </row>
    <row r="28" spans="2:3" x14ac:dyDescent="0.2">
      <c r="B28" s="20" t="s">
        <v>34</v>
      </c>
      <c r="C28" s="20">
        <v>22</v>
      </c>
    </row>
    <row r="29" spans="2:3" x14ac:dyDescent="0.2">
      <c r="B29" s="20" t="s">
        <v>35</v>
      </c>
      <c r="C29" s="20">
        <v>0</v>
      </c>
    </row>
    <row r="30" spans="2:3" x14ac:dyDescent="0.2">
      <c r="B30" s="20" t="s">
        <v>36</v>
      </c>
      <c r="C30" s="20">
        <v>0</v>
      </c>
    </row>
    <row r="31" spans="2:3" x14ac:dyDescent="0.2">
      <c r="B31" s="20" t="s">
        <v>37</v>
      </c>
      <c r="C31" s="20">
        <v>0</v>
      </c>
    </row>
  </sheetData>
  <sheetProtection sheet="1" objects="1" scenarios="1"/>
  <mergeCells count="4">
    <mergeCell ref="B2:C2"/>
    <mergeCell ref="B4:C4"/>
    <mergeCell ref="B13:C13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1.Início</vt:lpstr>
      <vt:lpstr>2.Forças</vt:lpstr>
      <vt:lpstr>3.Parâmetros_Azul</vt:lpstr>
      <vt:lpstr>4.Parâmetros_Verm</vt:lpstr>
      <vt:lpstr>5.Mira</vt:lpstr>
      <vt:lpstr>6.Cibernético</vt:lpstr>
      <vt:lpstr>7.Config</vt:lpstr>
      <vt:lpstr>8.MotorCalc</vt:lpstr>
      <vt:lpstr>9.Simulação</vt:lpstr>
      <vt:lpstr>10.Resultados</vt:lpstr>
      <vt:lpstr>0.Registro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3</cp:revision>
  <dcterms:created xsi:type="dcterms:W3CDTF">2026-05-09T15:10:50Z</dcterms:created>
  <dcterms:modified xsi:type="dcterms:W3CDTF">2026-05-17T14:12:48Z</dcterms:modified>
  <dc:language>en-US</dc:language>
</cp:coreProperties>
</file>